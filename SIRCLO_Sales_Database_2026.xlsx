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15EE86D0-2D9F-40E2-AD8E-53188D1B2DC9}" xr6:coauthVersionLast="47" xr6:coauthVersionMax="47" xr10:uidLastSave="{00000000-0000-0000-0000-000000000000}"/>
  <bookViews>
    <workbookView xWindow="-120" yWindow="-120" windowWidth="20640" windowHeight="11040" xr2:uid="{00000000-000D-0000-FFFF-FFFF00000000}"/>
  </bookViews>
  <sheets>
    <sheet name="report" sheetId="4" r:id="rId1"/>
    <sheet name="Sales_Data" sheetId="1" r:id="rId2"/>
    <sheet name="Master_Produk" sheetId="2" r:id="rId3"/>
    <sheet name="Master_Kanal" sheetId="3" r:id="rId4"/>
  </sheets>
  <definedNames>
    <definedName name="NativeTimeline_Tanggal">#N/A</definedName>
    <definedName name="Slicer_Kategori">#N/A</definedName>
  </definedNames>
  <calcPr calcId="191029"/>
  <pivotCaches>
    <pivotCache cacheId="4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 r="P17" i="1"/>
  <c r="P16" i="1"/>
  <c r="P14" i="1"/>
  <c r="P15" i="1"/>
  <c r="R3" i="1"/>
  <c r="R4" i="1"/>
  <c r="R5" i="1"/>
  <c r="R6" i="1"/>
  <c r="R7" i="1"/>
  <c r="R8" i="1"/>
  <c r="R2" i="1"/>
  <c r="P3" i="1"/>
  <c r="P4" i="1"/>
  <c r="P5" i="1"/>
  <c r="P6" i="1"/>
  <c r="P7" i="1"/>
  <c r="P8" i="1"/>
  <c r="P2" i="1"/>
  <c r="Q3" i="1"/>
  <c r="Q4" i="1"/>
  <c r="Q5" i="1"/>
  <c r="Q6" i="1"/>
  <c r="Q7" i="1"/>
  <c r="Q8" i="1"/>
  <c r="Q2" i="1"/>
  <c r="W2" i="1"/>
  <c r="U2" i="1"/>
  <c r="P12" i="1"/>
  <c r="Z3" i="1"/>
  <c r="Z4" i="1"/>
  <c r="Z5" i="1"/>
  <c r="Z6" i="1"/>
  <c r="Z7" i="1"/>
  <c r="Z8" i="1"/>
  <c r="Z2" i="1"/>
  <c r="Y2" i="1"/>
  <c r="X2" i="1"/>
  <c r="V2" i="1"/>
  <c r="T2" i="1"/>
  <c r="S2" i="1"/>
</calcChain>
</file>

<file path=xl/sharedStrings.xml><?xml version="1.0" encoding="utf-8"?>
<sst xmlns="http://schemas.openxmlformats.org/spreadsheetml/2006/main" count="8095" uniqueCount="2070">
  <si>
    <t>ID_Transaksi</t>
  </si>
  <si>
    <t>Tanggal</t>
  </si>
  <si>
    <t>ID_Produk</t>
  </si>
  <si>
    <t>Nama_Produk</t>
  </si>
  <si>
    <t>Kategori</t>
  </si>
  <si>
    <t>Kode_Kanal</t>
  </si>
  <si>
    <t>Nama_Kanal</t>
  </si>
  <si>
    <t>Jumlah_Terjual</t>
  </si>
  <si>
    <t>Harga_Satuan</t>
  </si>
  <si>
    <t>Total_Penjualan</t>
  </si>
  <si>
    <t>Diskon_%</t>
  </si>
  <si>
    <t>Status_Pengiriman</t>
  </si>
  <si>
    <t>Kode_Aktivasi</t>
  </si>
  <si>
    <t>TRX-2026-0001</t>
  </si>
  <si>
    <t>PRD-002</t>
  </si>
  <si>
    <t>SIRCLO Store Pro</t>
  </si>
  <si>
    <t>E-Commerce Tools</t>
  </si>
  <si>
    <t>TOK</t>
  </si>
  <si>
    <t>Tokopedia</t>
  </si>
  <si>
    <t>Delivered</t>
  </si>
  <si>
    <t>ACT-328-TOK-0001</t>
  </si>
  <si>
    <t>TRX-2026-0002</t>
  </si>
  <si>
    <t>TIK</t>
  </si>
  <si>
    <t>TikTok Shop</t>
  </si>
  <si>
    <t>ACT-130-TIK-0002</t>
  </si>
  <si>
    <t>TRX-2026-0003</t>
  </si>
  <si>
    <t>PRD-004</t>
  </si>
  <si>
    <t>Swift Omnichannel Basic</t>
  </si>
  <si>
    <t>SaaS Platform</t>
  </si>
  <si>
    <t>SHO</t>
  </si>
  <si>
    <t>Shopee</t>
  </si>
  <si>
    <t>Cancelled</t>
  </si>
  <si>
    <t>ACT-303-SHO-0003</t>
  </si>
  <si>
    <t>TRX-2026-0004</t>
  </si>
  <si>
    <t>PRD-007</t>
  </si>
  <si>
    <t>Chat Commerce Integration</t>
  </si>
  <si>
    <t>Social Commerce</t>
  </si>
  <si>
    <t>ACT-877-SHO-0004</t>
  </si>
  <si>
    <t>TRX-2026-0005</t>
  </si>
  <si>
    <t>PRD-003</t>
  </si>
  <si>
    <t>SIRCLO Commerce Enterprise</t>
  </si>
  <si>
    <t>Enterprise Solution</t>
  </si>
  <si>
    <t>BLI</t>
  </si>
  <si>
    <t>Blibli</t>
  </si>
  <si>
    <t>ACT-320-BLI-0005</t>
  </si>
  <si>
    <t>TRX-2026-0006</t>
  </si>
  <si>
    <t>PRD-006</t>
  </si>
  <si>
    <t>ICOMERCE Fulfillment Fee</t>
  </si>
  <si>
    <t>Fulfillment</t>
  </si>
  <si>
    <t>ACT-467-TOK-0006</t>
  </si>
  <si>
    <t>TRX-2026-0007</t>
  </si>
  <si>
    <t>Returned</t>
  </si>
  <si>
    <t>ACT-570-TIK-0007</t>
  </si>
  <si>
    <t>TRX-2026-0008</t>
  </si>
  <si>
    <t>ACT-733-BLI-0008</t>
  </si>
  <si>
    <t>TRX-2026-0009</t>
  </si>
  <si>
    <t>ACT-777-TIK-0009</t>
  </si>
  <si>
    <t>TRX-2026-0010</t>
  </si>
  <si>
    <t>PRD-005</t>
  </si>
  <si>
    <t>Swift Omnichannel Premium</t>
  </si>
  <si>
    <t>ACT-489-TOK-0010</t>
  </si>
  <si>
    <t>TRX-2026-0011</t>
  </si>
  <si>
    <t>PRD-008</t>
  </si>
  <si>
    <t>Custom Dashboard Analytics</t>
  </si>
  <si>
    <t>Analytics</t>
  </si>
  <si>
    <t>LAZ</t>
  </si>
  <si>
    <t>Lazada</t>
  </si>
  <si>
    <t>ACT-314-LAZ-0011</t>
  </si>
  <si>
    <t>TRX-2026-0012</t>
  </si>
  <si>
    <t>ACT-846-TOK-0012</t>
  </si>
  <si>
    <t>TRX-2026-0013</t>
  </si>
  <si>
    <t>ACT-804-BLI-0013</t>
  </si>
  <si>
    <t>TRX-2026-0014</t>
  </si>
  <si>
    <t>ACT-941-LAZ-0014</t>
  </si>
  <si>
    <t>TRX-2026-0015</t>
  </si>
  <si>
    <t>ACT-680-BLI-0015</t>
  </si>
  <si>
    <t>TRX-2026-0016</t>
  </si>
  <si>
    <t>In Transit</t>
  </si>
  <si>
    <t>ACT-758-SHO-0016</t>
  </si>
  <si>
    <t>TRX-2026-0017</t>
  </si>
  <si>
    <t>ACT-674-LAZ-0017</t>
  </si>
  <si>
    <t>TRX-2026-0018</t>
  </si>
  <si>
    <t>ACT-324-TIK-0018</t>
  </si>
  <si>
    <t>TRX-2026-0019</t>
  </si>
  <si>
    <t>ACT-256-TOK-0019</t>
  </si>
  <si>
    <t>TRX-2026-0020</t>
  </si>
  <si>
    <t>ACT-490-BLI-0020</t>
  </si>
  <si>
    <t>TRX-2026-0021</t>
  </si>
  <si>
    <t>ACT-838-TIK-0021</t>
  </si>
  <si>
    <t>TRX-2026-0022</t>
  </si>
  <si>
    <t>ACT-261-LAZ-0022</t>
  </si>
  <si>
    <t>TRX-2026-0023</t>
  </si>
  <si>
    <t>PRD-001</t>
  </si>
  <si>
    <t>SIRCLO Store Basic</t>
  </si>
  <si>
    <t>ACT-208-LAZ-0023</t>
  </si>
  <si>
    <t>TRX-2026-0024</t>
  </si>
  <si>
    <t>ACT-482-TIK-0024</t>
  </si>
  <si>
    <t>TRX-2026-0025</t>
  </si>
  <si>
    <t>ACT-431-TIK-0025</t>
  </si>
  <si>
    <t>TRX-2026-0026</t>
  </si>
  <si>
    <t>ACT-345-TOK-0026</t>
  </si>
  <si>
    <t>TRX-2026-0027</t>
  </si>
  <si>
    <t>ACT-597-TIK-0027</t>
  </si>
  <si>
    <t>TRX-2026-0028</t>
  </si>
  <si>
    <t>ACT-775-TIK-0028</t>
  </si>
  <si>
    <t>TRX-2026-0029</t>
  </si>
  <si>
    <t>ACT-652-LAZ-0029</t>
  </si>
  <si>
    <t>TRX-2026-0030</t>
  </si>
  <si>
    <t>ACT-629-LAZ-0030</t>
  </si>
  <si>
    <t>TRX-2026-0031</t>
  </si>
  <si>
    <t>ACT-121-SHO-0031</t>
  </si>
  <si>
    <t>TRX-2026-0032</t>
  </si>
  <si>
    <t>ACT-824-TIK-0032</t>
  </si>
  <si>
    <t>TRX-2026-0033</t>
  </si>
  <si>
    <t>ACT-172-SHO-0033</t>
  </si>
  <si>
    <t>TRX-2026-0034</t>
  </si>
  <si>
    <t>ACT-652-LAZ-0034</t>
  </si>
  <si>
    <t>TRX-2026-0035</t>
  </si>
  <si>
    <t>ACT-294-SHO-0035</t>
  </si>
  <si>
    <t>TRX-2026-0036</t>
  </si>
  <si>
    <t>ACT-578-BLI-0036</t>
  </si>
  <si>
    <t>TRX-2026-0037</t>
  </si>
  <si>
    <t>ACT-447-TOK-0037</t>
  </si>
  <si>
    <t>TRX-2026-0038</t>
  </si>
  <si>
    <t>ACT-559-SHO-0038</t>
  </si>
  <si>
    <t>TRX-2026-0039</t>
  </si>
  <si>
    <t>ACT-995-SHO-0039</t>
  </si>
  <si>
    <t>TRX-2026-0040</t>
  </si>
  <si>
    <t>ACT-653-TIK-0040</t>
  </si>
  <si>
    <t>TRX-2026-0041</t>
  </si>
  <si>
    <t>ACT-516-TOK-0041</t>
  </si>
  <si>
    <t>TRX-2026-0042</t>
  </si>
  <si>
    <t>ACT-268-SHO-0042</t>
  </si>
  <si>
    <t>TRX-2026-0043</t>
  </si>
  <si>
    <t>ACT-533-BLI-0043</t>
  </si>
  <si>
    <t>TRX-2026-0044</t>
  </si>
  <si>
    <t>ACT-159-SHO-0044</t>
  </si>
  <si>
    <t>TRX-2026-0045</t>
  </si>
  <si>
    <t>ACT-588-LAZ-0045</t>
  </si>
  <si>
    <t>TRX-2026-0046</t>
  </si>
  <si>
    <t>ACT-170-TOK-0046</t>
  </si>
  <si>
    <t>TRX-2026-0047</t>
  </si>
  <si>
    <t>ACT-352-SHO-0047</t>
  </si>
  <si>
    <t>TRX-2026-0048</t>
  </si>
  <si>
    <t>ACT-697-TIK-0048</t>
  </si>
  <si>
    <t>TRX-2026-0049</t>
  </si>
  <si>
    <t>ACT-371-LAZ-0049</t>
  </si>
  <si>
    <t>TRX-2026-0050</t>
  </si>
  <si>
    <t>ACT-109-LAZ-0050</t>
  </si>
  <si>
    <t>TRX-2026-0051</t>
  </si>
  <si>
    <t>ACT-371-TOK-0051</t>
  </si>
  <si>
    <t>TRX-2026-0052</t>
  </si>
  <si>
    <t>ACT-391-TOK-0052</t>
  </si>
  <si>
    <t>TRX-2026-0053</t>
  </si>
  <si>
    <t>ACT-926-TIK-0053</t>
  </si>
  <si>
    <t>TRX-2026-0054</t>
  </si>
  <si>
    <t>ACT-370-TIK-0054</t>
  </si>
  <si>
    <t>TRX-2026-0055</t>
  </si>
  <si>
    <t>ACT-719-TIK-0055</t>
  </si>
  <si>
    <t>TRX-2026-0056</t>
  </si>
  <si>
    <t>ACT-600-SHO-0056</t>
  </si>
  <si>
    <t>TRX-2026-0057</t>
  </si>
  <si>
    <t>ACT-145-TOK-0057</t>
  </si>
  <si>
    <t>TRX-2026-0058</t>
  </si>
  <si>
    <t>ACT-859-SHO-0058</t>
  </si>
  <si>
    <t>TRX-2026-0059</t>
  </si>
  <si>
    <t>ACT-807-TIK-0059</t>
  </si>
  <si>
    <t>TRX-2026-0060</t>
  </si>
  <si>
    <t>ACT-230-LAZ-0060</t>
  </si>
  <si>
    <t>TRX-2026-0061</t>
  </si>
  <si>
    <t>ACT-315-LAZ-0061</t>
  </si>
  <si>
    <t>TRX-2026-0062</t>
  </si>
  <si>
    <t>ACT-867-TOK-0062</t>
  </si>
  <si>
    <t>TRX-2026-0063</t>
  </si>
  <si>
    <t>ACT-125-SHO-0063</t>
  </si>
  <si>
    <t>TRX-2026-0064</t>
  </si>
  <si>
    <t>ACT-263-BLI-0064</t>
  </si>
  <si>
    <t>TRX-2026-0065</t>
  </si>
  <si>
    <t>ACT-327-BLI-0065</t>
  </si>
  <si>
    <t>TRX-2026-0066</t>
  </si>
  <si>
    <t>ACT-124-LAZ-0066</t>
  </si>
  <si>
    <t>TRX-2026-0067</t>
  </si>
  <si>
    <t>ACT-891-BLI-0067</t>
  </si>
  <si>
    <t>TRX-2026-0068</t>
  </si>
  <si>
    <t>ACT-218-TIK-0068</t>
  </si>
  <si>
    <t>TRX-2026-0069</t>
  </si>
  <si>
    <t>ACT-710-TIK-0069</t>
  </si>
  <si>
    <t>TRX-2026-0070</t>
  </si>
  <si>
    <t>ACT-690-LAZ-0070</t>
  </si>
  <si>
    <t>TRX-2026-0071</t>
  </si>
  <si>
    <t>ACT-632-TOK-0071</t>
  </si>
  <si>
    <t>TRX-2026-0072</t>
  </si>
  <si>
    <t>ACT-438-LAZ-0072</t>
  </si>
  <si>
    <t>TRX-2026-0073</t>
  </si>
  <si>
    <t>ACT-416-TOK-0073</t>
  </si>
  <si>
    <t>TRX-2026-0074</t>
  </si>
  <si>
    <t>ACT-230-LAZ-0074</t>
  </si>
  <si>
    <t>TRX-2026-0075</t>
  </si>
  <si>
    <t>ACT-682-BLI-0075</t>
  </si>
  <si>
    <t>TRX-2026-0076</t>
  </si>
  <si>
    <t>ACT-393-TIK-0076</t>
  </si>
  <si>
    <t>TRX-2026-0077</t>
  </si>
  <si>
    <t>ACT-552-TIK-0077</t>
  </si>
  <si>
    <t>TRX-2026-0078</t>
  </si>
  <si>
    <t>ACT-186-TIK-0078</t>
  </si>
  <si>
    <t>TRX-2026-0079</t>
  </si>
  <si>
    <t>ACT-417-TOK-0079</t>
  </si>
  <si>
    <t>TRX-2026-0080</t>
  </si>
  <si>
    <t>ACT-586-SHO-0080</t>
  </si>
  <si>
    <t>TRX-2026-0081</t>
  </si>
  <si>
    <t>ACT-813-BLI-0081</t>
  </si>
  <si>
    <t>TRX-2026-0082</t>
  </si>
  <si>
    <t>ACT-804-BLI-0082</t>
  </si>
  <si>
    <t>TRX-2026-0083</t>
  </si>
  <si>
    <t>ACT-630-BLI-0083</t>
  </si>
  <si>
    <t>TRX-2026-0084</t>
  </si>
  <si>
    <t>ACT-236-TIK-0084</t>
  </si>
  <si>
    <t>TRX-2026-0085</t>
  </si>
  <si>
    <t>ACT-727-TIK-0085</t>
  </si>
  <si>
    <t>TRX-2026-0086</t>
  </si>
  <si>
    <t>ACT-982-TIK-0086</t>
  </si>
  <si>
    <t>TRX-2026-0087</t>
  </si>
  <si>
    <t>ACT-383-LAZ-0087</t>
  </si>
  <si>
    <t>TRX-2026-0088</t>
  </si>
  <si>
    <t>ACT-830-SHO-0088</t>
  </si>
  <si>
    <t>TRX-2026-0089</t>
  </si>
  <si>
    <t>ACT-182-LAZ-0089</t>
  </si>
  <si>
    <t>TRX-2026-0090</t>
  </si>
  <si>
    <t>ACT-319-SHO-0090</t>
  </si>
  <si>
    <t>TRX-2026-0091</t>
  </si>
  <si>
    <t>ACT-163-BLI-0091</t>
  </si>
  <si>
    <t>TRX-2026-0092</t>
  </si>
  <si>
    <t>ACT-489-BLI-0092</t>
  </si>
  <si>
    <t>TRX-2026-0093</t>
  </si>
  <si>
    <t>ACT-651-LAZ-0093</t>
  </si>
  <si>
    <t>TRX-2026-0094</t>
  </si>
  <si>
    <t>ACT-597-BLI-0094</t>
  </si>
  <si>
    <t>TRX-2026-0095</t>
  </si>
  <si>
    <t>ACT-269-LAZ-0095</t>
  </si>
  <si>
    <t>TRX-2026-0096</t>
  </si>
  <si>
    <t>ACT-706-SHO-0096</t>
  </si>
  <si>
    <t>TRX-2026-0097</t>
  </si>
  <si>
    <t>ACT-987-TOK-0097</t>
  </si>
  <si>
    <t>TRX-2026-0098</t>
  </si>
  <si>
    <t>ACT-316-TOK-0098</t>
  </si>
  <si>
    <t>TRX-2026-0099</t>
  </si>
  <si>
    <t>ACT-870-LAZ-0099</t>
  </si>
  <si>
    <t>TRX-2026-0100</t>
  </si>
  <si>
    <t>ACT-119-LAZ-0100</t>
  </si>
  <si>
    <t>TRX-2026-0101</t>
  </si>
  <si>
    <t>ACT-141-LAZ-0101</t>
  </si>
  <si>
    <t>TRX-2026-0102</t>
  </si>
  <si>
    <t>ACT-256-SHO-0102</t>
  </si>
  <si>
    <t>TRX-2026-0103</t>
  </si>
  <si>
    <t>ACT-323-BLI-0103</t>
  </si>
  <si>
    <t>TRX-2026-0104</t>
  </si>
  <si>
    <t>ACT-418-LAZ-0104</t>
  </si>
  <si>
    <t>TRX-2026-0105</t>
  </si>
  <si>
    <t>ACT-832-LAZ-0105</t>
  </si>
  <si>
    <t>TRX-2026-0106</t>
  </si>
  <si>
    <t>ACT-813-TIK-0106</t>
  </si>
  <si>
    <t>TRX-2026-0107</t>
  </si>
  <si>
    <t>ACT-901-TIK-0107</t>
  </si>
  <si>
    <t>TRX-2026-0108</t>
  </si>
  <si>
    <t>ACT-618-TIK-0108</t>
  </si>
  <si>
    <t>TRX-2026-0109</t>
  </si>
  <si>
    <t>ACT-208-TOK-0109</t>
  </si>
  <si>
    <t>TRX-2026-0110</t>
  </si>
  <si>
    <t>ACT-280-BLI-0110</t>
  </si>
  <si>
    <t>TRX-2026-0111</t>
  </si>
  <si>
    <t>ACT-546-TIK-0111</t>
  </si>
  <si>
    <t>TRX-2026-0112</t>
  </si>
  <si>
    <t>ACT-385-LAZ-0112</t>
  </si>
  <si>
    <t>TRX-2026-0113</t>
  </si>
  <si>
    <t>ACT-129-BLI-0113</t>
  </si>
  <si>
    <t>TRX-2026-0114</t>
  </si>
  <si>
    <t>ACT-916-SHO-0114</t>
  </si>
  <si>
    <t>TRX-2026-0115</t>
  </si>
  <si>
    <t>ACT-110-LAZ-0115</t>
  </si>
  <si>
    <t>TRX-2026-0116</t>
  </si>
  <si>
    <t>ACT-668-TOK-0116</t>
  </si>
  <si>
    <t>TRX-2026-0117</t>
  </si>
  <si>
    <t>ACT-911-BLI-0117</t>
  </si>
  <si>
    <t>TRX-2026-0118</t>
  </si>
  <si>
    <t>ACT-349-LAZ-0118</t>
  </si>
  <si>
    <t>TRX-2026-0119</t>
  </si>
  <si>
    <t>ACT-863-BLI-0119</t>
  </si>
  <si>
    <t>TRX-2026-0120</t>
  </si>
  <si>
    <t>ACT-413-LAZ-0120</t>
  </si>
  <si>
    <t>TRX-2026-0121</t>
  </si>
  <si>
    <t>ACT-222-TOK-0121</t>
  </si>
  <si>
    <t>TRX-2026-0122</t>
  </si>
  <si>
    <t>ACT-841-SHO-0122</t>
  </si>
  <si>
    <t>TRX-2026-0123</t>
  </si>
  <si>
    <t>ACT-332-TOK-0123</t>
  </si>
  <si>
    <t>TRX-2026-0124</t>
  </si>
  <si>
    <t>ACT-146-LAZ-0124</t>
  </si>
  <si>
    <t>TRX-2026-0125</t>
  </si>
  <si>
    <t>ACT-993-SHO-0125</t>
  </si>
  <si>
    <t>TRX-2026-0126</t>
  </si>
  <si>
    <t>ACT-288-BLI-0126</t>
  </si>
  <si>
    <t>TRX-2026-0127</t>
  </si>
  <si>
    <t>ACT-603-BLI-0127</t>
  </si>
  <si>
    <t>TRX-2026-0128</t>
  </si>
  <si>
    <t>ACT-354-SHO-0128</t>
  </si>
  <si>
    <t>TRX-2026-0129</t>
  </si>
  <si>
    <t>ACT-489-TIK-0129</t>
  </si>
  <si>
    <t>TRX-2026-0130</t>
  </si>
  <si>
    <t>ACT-682-LAZ-0130</t>
  </si>
  <si>
    <t>TRX-2026-0131</t>
  </si>
  <si>
    <t>ACT-740-TIK-0131</t>
  </si>
  <si>
    <t>TRX-2026-0132</t>
  </si>
  <si>
    <t>ACT-665-TOK-0132</t>
  </si>
  <si>
    <t>TRX-2026-0133</t>
  </si>
  <si>
    <t>ACT-708-TOK-0133</t>
  </si>
  <si>
    <t>TRX-2026-0134</t>
  </si>
  <si>
    <t>ACT-389-TOK-0134</t>
  </si>
  <si>
    <t>TRX-2026-0135</t>
  </si>
  <si>
    <t>ACT-906-TOK-0135</t>
  </si>
  <si>
    <t>TRX-2026-0136</t>
  </si>
  <si>
    <t>ACT-252-BLI-0136</t>
  </si>
  <si>
    <t>TRX-2026-0137</t>
  </si>
  <si>
    <t>ACT-709-TOK-0137</t>
  </si>
  <si>
    <t>TRX-2026-0138</t>
  </si>
  <si>
    <t>ACT-411-BLI-0138</t>
  </si>
  <si>
    <t>TRX-2026-0139</t>
  </si>
  <si>
    <t>ACT-182-LAZ-0139</t>
  </si>
  <si>
    <t>TRX-2026-0140</t>
  </si>
  <si>
    <t>ACT-356-BLI-0140</t>
  </si>
  <si>
    <t>TRX-2026-0141</t>
  </si>
  <si>
    <t>ACT-941-SHO-0141</t>
  </si>
  <si>
    <t>TRX-2026-0142</t>
  </si>
  <si>
    <t>ACT-285-SHO-0142</t>
  </si>
  <si>
    <t>TRX-2026-0143</t>
  </si>
  <si>
    <t>ACT-518-BLI-0143</t>
  </si>
  <si>
    <t>TRX-2026-0144</t>
  </si>
  <si>
    <t>ACT-521-TOK-0144</t>
  </si>
  <si>
    <t>TRX-2026-0145</t>
  </si>
  <si>
    <t>ACT-137-LAZ-0145</t>
  </si>
  <si>
    <t>TRX-2026-0146</t>
  </si>
  <si>
    <t>ACT-891-LAZ-0146</t>
  </si>
  <si>
    <t>TRX-2026-0147</t>
  </si>
  <si>
    <t>ACT-292-TIK-0147</t>
  </si>
  <si>
    <t>TRX-2026-0148</t>
  </si>
  <si>
    <t>ACT-552-TIK-0148</t>
  </si>
  <si>
    <t>TRX-2026-0149</t>
  </si>
  <si>
    <t>ACT-548-SHO-0149</t>
  </si>
  <si>
    <t>TRX-2026-0150</t>
  </si>
  <si>
    <t>ACT-262-TOK-0150</t>
  </si>
  <si>
    <t>TRX-2026-0151</t>
  </si>
  <si>
    <t>ACT-961-TIK-0151</t>
  </si>
  <si>
    <t>TRX-2026-0152</t>
  </si>
  <si>
    <t>ACT-833-TOK-0152</t>
  </si>
  <si>
    <t>TRX-2026-0153</t>
  </si>
  <si>
    <t>ACT-349-BLI-0153</t>
  </si>
  <si>
    <t>TRX-2026-0154</t>
  </si>
  <si>
    <t>ACT-382-BLI-0154</t>
  </si>
  <si>
    <t>TRX-2026-0155</t>
  </si>
  <si>
    <t>ACT-389-LAZ-0155</t>
  </si>
  <si>
    <t>TRX-2026-0156</t>
  </si>
  <si>
    <t>ACT-557-TIK-0156</t>
  </si>
  <si>
    <t>TRX-2026-0157</t>
  </si>
  <si>
    <t>ACT-429-LAZ-0157</t>
  </si>
  <si>
    <t>TRX-2026-0158</t>
  </si>
  <si>
    <t>ACT-144-TIK-0158</t>
  </si>
  <si>
    <t>TRX-2026-0159</t>
  </si>
  <si>
    <t>ACT-137-BLI-0159</t>
  </si>
  <si>
    <t>TRX-2026-0160</t>
  </si>
  <si>
    <t>ACT-638-TOK-0160</t>
  </si>
  <si>
    <t>TRX-2026-0161</t>
  </si>
  <si>
    <t>ACT-580-SHO-0161</t>
  </si>
  <si>
    <t>TRX-2026-0162</t>
  </si>
  <si>
    <t>ACT-182-LAZ-0162</t>
  </si>
  <si>
    <t>TRX-2026-0163</t>
  </si>
  <si>
    <t>ACT-835-TIK-0163</t>
  </si>
  <si>
    <t>TRX-2026-0164</t>
  </si>
  <si>
    <t>ACT-746-TIK-0164</t>
  </si>
  <si>
    <t>TRX-2026-0165</t>
  </si>
  <si>
    <t>ACT-200-SHO-0165</t>
  </si>
  <si>
    <t>TRX-2026-0166</t>
  </si>
  <si>
    <t>ACT-147-BLI-0166</t>
  </si>
  <si>
    <t>TRX-2026-0167</t>
  </si>
  <si>
    <t>ACT-249-LAZ-0167</t>
  </si>
  <si>
    <t>TRX-2026-0168</t>
  </si>
  <si>
    <t>ACT-279-TIK-0168</t>
  </si>
  <si>
    <t>TRX-2026-0169</t>
  </si>
  <si>
    <t>ACT-697-TIK-0169</t>
  </si>
  <si>
    <t>TRX-2026-0170</t>
  </si>
  <si>
    <t>ACT-361-BLI-0170</t>
  </si>
  <si>
    <t>TRX-2026-0171</t>
  </si>
  <si>
    <t>ACT-659-BLI-0171</t>
  </si>
  <si>
    <t>TRX-2026-0172</t>
  </si>
  <si>
    <t>ACT-534-BLI-0172</t>
  </si>
  <si>
    <t>TRX-2026-0173</t>
  </si>
  <si>
    <t>ACT-493-BLI-0173</t>
  </si>
  <si>
    <t>TRX-2026-0174</t>
  </si>
  <si>
    <t>ACT-467-TOK-0174</t>
  </si>
  <si>
    <t>TRX-2026-0175</t>
  </si>
  <si>
    <t>ACT-108-LAZ-0175</t>
  </si>
  <si>
    <t>TRX-2026-0176</t>
  </si>
  <si>
    <t>ACT-894-TIK-0176</t>
  </si>
  <si>
    <t>TRX-2026-0177</t>
  </si>
  <si>
    <t>ACT-751-TIK-0177</t>
  </si>
  <si>
    <t>TRX-2026-0178</t>
  </si>
  <si>
    <t>ACT-761-SHO-0178</t>
  </si>
  <si>
    <t>TRX-2026-0179</t>
  </si>
  <si>
    <t>ACT-234-BLI-0179</t>
  </si>
  <si>
    <t>TRX-2026-0180</t>
  </si>
  <si>
    <t>ACT-305-LAZ-0180</t>
  </si>
  <si>
    <t>TRX-2026-0181</t>
  </si>
  <si>
    <t>ACT-363-TIK-0181</t>
  </si>
  <si>
    <t>TRX-2026-0182</t>
  </si>
  <si>
    <t>ACT-579-LAZ-0182</t>
  </si>
  <si>
    <t>TRX-2026-0183</t>
  </si>
  <si>
    <t>ACT-474-SHO-0183</t>
  </si>
  <si>
    <t>TRX-2026-0184</t>
  </si>
  <si>
    <t>ACT-477-TOK-0184</t>
  </si>
  <si>
    <t>TRX-2026-0185</t>
  </si>
  <si>
    <t>ACT-791-TIK-0185</t>
  </si>
  <si>
    <t>TRX-2026-0186</t>
  </si>
  <si>
    <t>ACT-326-TOK-0186</t>
  </si>
  <si>
    <t>TRX-2026-0187</t>
  </si>
  <si>
    <t>ACT-518-BLI-0187</t>
  </si>
  <si>
    <t>TRX-2026-0188</t>
  </si>
  <si>
    <t>ACT-218-TOK-0188</t>
  </si>
  <si>
    <t>TRX-2026-0189</t>
  </si>
  <si>
    <t>ACT-479-TIK-0189</t>
  </si>
  <si>
    <t>TRX-2026-0190</t>
  </si>
  <si>
    <t>ACT-770-TIK-0190</t>
  </si>
  <si>
    <t>TRX-2026-0191</t>
  </si>
  <si>
    <t>ACT-806-TIK-0191</t>
  </si>
  <si>
    <t>TRX-2026-0192</t>
  </si>
  <si>
    <t>ACT-201-BLI-0192</t>
  </si>
  <si>
    <t>TRX-2026-0193</t>
  </si>
  <si>
    <t>ACT-507-TIK-0193</t>
  </si>
  <si>
    <t>TRX-2026-0194</t>
  </si>
  <si>
    <t>ACT-778-TOK-0194</t>
  </si>
  <si>
    <t>TRX-2026-0195</t>
  </si>
  <si>
    <t>ACT-228-TOK-0195</t>
  </si>
  <si>
    <t>TRX-2026-0196</t>
  </si>
  <si>
    <t>ACT-321-TOK-0196</t>
  </si>
  <si>
    <t>TRX-2026-0197</t>
  </si>
  <si>
    <t>ACT-102-LAZ-0197</t>
  </si>
  <si>
    <t>TRX-2026-0198</t>
  </si>
  <si>
    <t>ACT-212-SHO-0198</t>
  </si>
  <si>
    <t>TRX-2026-0199</t>
  </si>
  <si>
    <t>ACT-702-SHO-0199</t>
  </si>
  <si>
    <t>TRX-2026-0200</t>
  </si>
  <si>
    <t>ACT-859-SHO-0200</t>
  </si>
  <si>
    <t>TRX-2026-0201</t>
  </si>
  <si>
    <t>ACT-625-TOK-0201</t>
  </si>
  <si>
    <t>TRX-2026-0202</t>
  </si>
  <si>
    <t>ACT-144-BLI-0202</t>
  </si>
  <si>
    <t>TRX-2026-0203</t>
  </si>
  <si>
    <t>ACT-590-BLI-0203</t>
  </si>
  <si>
    <t>TRX-2026-0204</t>
  </si>
  <si>
    <t>ACT-829-BLI-0204</t>
  </si>
  <si>
    <t>TRX-2026-0205</t>
  </si>
  <si>
    <t>ACT-229-TOK-0205</t>
  </si>
  <si>
    <t>TRX-2026-0206</t>
  </si>
  <si>
    <t>ACT-617-BLI-0206</t>
  </si>
  <si>
    <t>TRX-2026-0207</t>
  </si>
  <si>
    <t>ACT-766-TOK-0207</t>
  </si>
  <si>
    <t>TRX-2026-0208</t>
  </si>
  <si>
    <t>ACT-447-BLI-0208</t>
  </si>
  <si>
    <t>TRX-2026-0209</t>
  </si>
  <si>
    <t>ACT-537-BLI-0209</t>
  </si>
  <si>
    <t>TRX-2026-0210</t>
  </si>
  <si>
    <t>ACT-193-LAZ-0210</t>
  </si>
  <si>
    <t>TRX-2026-0211</t>
  </si>
  <si>
    <t>ACT-856-TOK-0211</t>
  </si>
  <si>
    <t>TRX-2026-0212</t>
  </si>
  <si>
    <t>ACT-225-TIK-0212</t>
  </si>
  <si>
    <t>TRX-2026-0213</t>
  </si>
  <si>
    <t>ACT-714-BLI-0213</t>
  </si>
  <si>
    <t>TRX-2026-0214</t>
  </si>
  <si>
    <t>ACT-772-TOK-0214</t>
  </si>
  <si>
    <t>TRX-2026-0215</t>
  </si>
  <si>
    <t>ACT-880-TOK-0215</t>
  </si>
  <si>
    <t>TRX-2026-0216</t>
  </si>
  <si>
    <t>ACT-773-BLI-0216</t>
  </si>
  <si>
    <t>TRX-2026-0217</t>
  </si>
  <si>
    <t>ACT-880-TOK-0217</t>
  </si>
  <si>
    <t>TRX-2026-0218</t>
  </si>
  <si>
    <t>ACT-679-LAZ-0218</t>
  </si>
  <si>
    <t>TRX-2026-0219</t>
  </si>
  <si>
    <t>ACT-864-TOK-0219</t>
  </si>
  <si>
    <t>TRX-2026-0220</t>
  </si>
  <si>
    <t>ACT-261-BLI-0220</t>
  </si>
  <si>
    <t>TRX-2026-0221</t>
  </si>
  <si>
    <t>ACT-259-LAZ-0221</t>
  </si>
  <si>
    <t>TRX-2026-0222</t>
  </si>
  <si>
    <t>ACT-534-TOK-0222</t>
  </si>
  <si>
    <t>TRX-2026-0223</t>
  </si>
  <si>
    <t>ACT-216-BLI-0223</t>
  </si>
  <si>
    <t>TRX-2026-0224</t>
  </si>
  <si>
    <t>ACT-783-TOK-0224</t>
  </si>
  <si>
    <t>TRX-2026-0225</t>
  </si>
  <si>
    <t>ACT-309-SHO-0225</t>
  </si>
  <si>
    <t>TRX-2026-0226</t>
  </si>
  <si>
    <t>ACT-435-SHO-0226</t>
  </si>
  <si>
    <t>TRX-2026-0227</t>
  </si>
  <si>
    <t>ACT-232-BLI-0227</t>
  </si>
  <si>
    <t>TRX-2026-0228</t>
  </si>
  <si>
    <t>ACT-506-TIK-0228</t>
  </si>
  <si>
    <t>TRX-2026-0229</t>
  </si>
  <si>
    <t>ACT-982-BLI-0229</t>
  </si>
  <si>
    <t>TRX-2026-0230</t>
  </si>
  <si>
    <t>ACT-217-TIK-0230</t>
  </si>
  <si>
    <t>TRX-2026-0231</t>
  </si>
  <si>
    <t>ACT-470-LAZ-0231</t>
  </si>
  <si>
    <t>TRX-2026-0232</t>
  </si>
  <si>
    <t>ACT-510-TOK-0232</t>
  </si>
  <si>
    <t>TRX-2026-0233</t>
  </si>
  <si>
    <t>ACT-447-BLI-0233</t>
  </si>
  <si>
    <t>TRX-2026-0234</t>
  </si>
  <si>
    <t>ACT-622-SHO-0234</t>
  </si>
  <si>
    <t>TRX-2026-0235</t>
  </si>
  <si>
    <t>ACT-205-LAZ-0235</t>
  </si>
  <si>
    <t>TRX-2026-0236</t>
  </si>
  <si>
    <t>ACT-177-SHO-0236</t>
  </si>
  <si>
    <t>TRX-2026-0237</t>
  </si>
  <si>
    <t>ACT-678-BLI-0237</t>
  </si>
  <si>
    <t>TRX-2026-0238</t>
  </si>
  <si>
    <t>ACT-580-LAZ-0238</t>
  </si>
  <si>
    <t>TRX-2026-0239</t>
  </si>
  <si>
    <t>ACT-619-LAZ-0239</t>
  </si>
  <si>
    <t>TRX-2026-0240</t>
  </si>
  <si>
    <t>ACT-477-BLI-0240</t>
  </si>
  <si>
    <t>TRX-2026-0241</t>
  </si>
  <si>
    <t>ACT-708-TOK-0241</t>
  </si>
  <si>
    <t>TRX-2026-0242</t>
  </si>
  <si>
    <t>ACT-929-BLI-0242</t>
  </si>
  <si>
    <t>TRX-2026-0243</t>
  </si>
  <si>
    <t>ACT-254-LAZ-0243</t>
  </si>
  <si>
    <t>TRX-2026-0244</t>
  </si>
  <si>
    <t>ACT-186-TOK-0244</t>
  </si>
  <si>
    <t>TRX-2026-0245</t>
  </si>
  <si>
    <t>ACT-636-TOK-0245</t>
  </si>
  <si>
    <t>TRX-2026-0246</t>
  </si>
  <si>
    <t>ACT-518-LAZ-0246</t>
  </si>
  <si>
    <t>TRX-2026-0247</t>
  </si>
  <si>
    <t>ACT-437-TIK-0247</t>
  </si>
  <si>
    <t>TRX-2026-0248</t>
  </si>
  <si>
    <t>ACT-183-LAZ-0248</t>
  </si>
  <si>
    <t>TRX-2026-0249</t>
  </si>
  <si>
    <t>ACT-709-LAZ-0249</t>
  </si>
  <si>
    <t>TRX-2026-0250</t>
  </si>
  <si>
    <t>ACT-910-LAZ-0250</t>
  </si>
  <si>
    <t>TRX-2026-0251</t>
  </si>
  <si>
    <t>ACT-470-TIK-0251</t>
  </si>
  <si>
    <t>TRX-2026-0252</t>
  </si>
  <si>
    <t>ACT-884-LAZ-0252</t>
  </si>
  <si>
    <t>TRX-2026-0253</t>
  </si>
  <si>
    <t>ACT-402-SHO-0253</t>
  </si>
  <si>
    <t>TRX-2026-0254</t>
  </si>
  <si>
    <t>ACT-444-TIK-0254</t>
  </si>
  <si>
    <t>TRX-2026-0255</t>
  </si>
  <si>
    <t>ACT-285-TIK-0255</t>
  </si>
  <si>
    <t>TRX-2026-0256</t>
  </si>
  <si>
    <t>ACT-792-BLI-0256</t>
  </si>
  <si>
    <t>TRX-2026-0257</t>
  </si>
  <si>
    <t>ACT-902-BLI-0257</t>
  </si>
  <si>
    <t>TRX-2026-0258</t>
  </si>
  <si>
    <t>ACT-955-TIK-0258</t>
  </si>
  <si>
    <t>TRX-2026-0259</t>
  </si>
  <si>
    <t>ACT-896-TIK-0259</t>
  </si>
  <si>
    <t>TRX-2026-0260</t>
  </si>
  <si>
    <t>ACT-241-SHO-0260</t>
  </si>
  <si>
    <t>TRX-2026-0261</t>
  </si>
  <si>
    <t>ACT-205-BLI-0261</t>
  </si>
  <si>
    <t>TRX-2026-0262</t>
  </si>
  <si>
    <t>ACT-560-LAZ-0262</t>
  </si>
  <si>
    <t>TRX-2026-0263</t>
  </si>
  <si>
    <t>ACT-457-BLI-0263</t>
  </si>
  <si>
    <t>TRX-2026-0264</t>
  </si>
  <si>
    <t>ACT-495-TOK-0264</t>
  </si>
  <si>
    <t>TRX-2026-0265</t>
  </si>
  <si>
    <t>ACT-959-SHO-0265</t>
  </si>
  <si>
    <t>TRX-2026-0266</t>
  </si>
  <si>
    <t>ACT-949-SHO-0266</t>
  </si>
  <si>
    <t>TRX-2026-0267</t>
  </si>
  <si>
    <t>ACT-119-BLI-0267</t>
  </si>
  <si>
    <t>TRX-2026-0268</t>
  </si>
  <si>
    <t>ACT-894-SHO-0268</t>
  </si>
  <si>
    <t>TRX-2026-0269</t>
  </si>
  <si>
    <t>ACT-529-LAZ-0269</t>
  </si>
  <si>
    <t>TRX-2026-0270</t>
  </si>
  <si>
    <t>ACT-648-TOK-0270</t>
  </si>
  <si>
    <t>TRX-2026-0271</t>
  </si>
  <si>
    <t>ACT-729-SHO-0271</t>
  </si>
  <si>
    <t>TRX-2026-0272</t>
  </si>
  <si>
    <t>ACT-784-TIK-0272</t>
  </si>
  <si>
    <t>TRX-2026-0273</t>
  </si>
  <si>
    <t>ACT-994-TOK-0273</t>
  </si>
  <si>
    <t>TRX-2026-0274</t>
  </si>
  <si>
    <t>ACT-116-BLI-0274</t>
  </si>
  <si>
    <t>TRX-2026-0275</t>
  </si>
  <si>
    <t>ACT-852-LAZ-0275</t>
  </si>
  <si>
    <t>TRX-2026-0276</t>
  </si>
  <si>
    <t>ACT-446-SHO-0276</t>
  </si>
  <si>
    <t>TRX-2026-0277</t>
  </si>
  <si>
    <t>ACT-286-BLI-0277</t>
  </si>
  <si>
    <t>TRX-2026-0278</t>
  </si>
  <si>
    <t>ACT-400-TOK-0278</t>
  </si>
  <si>
    <t>TRX-2026-0279</t>
  </si>
  <si>
    <t>ACT-417-SHO-0279</t>
  </si>
  <si>
    <t>TRX-2026-0280</t>
  </si>
  <si>
    <t>ACT-871-TIK-0280</t>
  </si>
  <si>
    <t>TRX-2026-0281</t>
  </si>
  <si>
    <t>ACT-439-LAZ-0281</t>
  </si>
  <si>
    <t>TRX-2026-0282</t>
  </si>
  <si>
    <t>ACT-550-LAZ-0282</t>
  </si>
  <si>
    <t>TRX-2026-0283</t>
  </si>
  <si>
    <t>ACT-916-SHO-0283</t>
  </si>
  <si>
    <t>TRX-2026-0284</t>
  </si>
  <si>
    <t>ACT-540-TOK-0284</t>
  </si>
  <si>
    <t>TRX-2026-0285</t>
  </si>
  <si>
    <t>ACT-181-TIK-0285</t>
  </si>
  <si>
    <t>TRX-2026-0286</t>
  </si>
  <si>
    <t>ACT-806-LAZ-0286</t>
  </si>
  <si>
    <t>TRX-2026-0287</t>
  </si>
  <si>
    <t>ACT-545-BLI-0287</t>
  </si>
  <si>
    <t>TRX-2026-0288</t>
  </si>
  <si>
    <t>ACT-625-TOK-0288</t>
  </si>
  <si>
    <t>TRX-2026-0289</t>
  </si>
  <si>
    <t>ACT-229-TOK-0289</t>
  </si>
  <si>
    <t>TRX-2026-0290</t>
  </si>
  <si>
    <t>ACT-133-LAZ-0290</t>
  </si>
  <si>
    <t>TRX-2026-0291</t>
  </si>
  <si>
    <t>ACT-881-BLI-0291</t>
  </si>
  <si>
    <t>TRX-2026-0292</t>
  </si>
  <si>
    <t>ACT-765-TIK-0292</t>
  </si>
  <si>
    <t>TRX-2026-0293</t>
  </si>
  <si>
    <t>ACT-630-TOK-0293</t>
  </si>
  <si>
    <t>TRX-2026-0294</t>
  </si>
  <si>
    <t>ACT-556-LAZ-0294</t>
  </si>
  <si>
    <t>TRX-2026-0295</t>
  </si>
  <si>
    <t>ACT-973-BLI-0295</t>
  </si>
  <si>
    <t>TRX-2026-0296</t>
  </si>
  <si>
    <t>ACT-929-SHO-0296</t>
  </si>
  <si>
    <t>TRX-2026-0297</t>
  </si>
  <si>
    <t>ACT-655-LAZ-0297</t>
  </si>
  <si>
    <t>TRX-2026-0298</t>
  </si>
  <si>
    <t>ACT-620-SHO-0298</t>
  </si>
  <si>
    <t>TRX-2026-0299</t>
  </si>
  <si>
    <t>ACT-909-SHO-0299</t>
  </si>
  <si>
    <t>TRX-2026-0300</t>
  </si>
  <si>
    <t>ACT-922-LAZ-0300</t>
  </si>
  <si>
    <t>TRX-2026-0301</t>
  </si>
  <si>
    <t>ACT-416-TIK-0301</t>
  </si>
  <si>
    <t>TRX-2026-0302</t>
  </si>
  <si>
    <t>ACT-175-TIK-0302</t>
  </si>
  <si>
    <t>TRX-2026-0303</t>
  </si>
  <si>
    <t>ACT-629-TOK-0303</t>
  </si>
  <si>
    <t>TRX-2026-0304</t>
  </si>
  <si>
    <t>ACT-543-TIK-0304</t>
  </si>
  <si>
    <t>TRX-2026-0305</t>
  </si>
  <si>
    <t>ACT-268-TOK-0305</t>
  </si>
  <si>
    <t>TRX-2026-0306</t>
  </si>
  <si>
    <t>ACT-356-SHO-0306</t>
  </si>
  <si>
    <t>TRX-2026-0307</t>
  </si>
  <si>
    <t>ACT-646-SHO-0307</t>
  </si>
  <si>
    <t>TRX-2026-0308</t>
  </si>
  <si>
    <t>ACT-774-TIK-0308</t>
  </si>
  <si>
    <t>TRX-2026-0309</t>
  </si>
  <si>
    <t>ACT-146-TIK-0309</t>
  </si>
  <si>
    <t>TRX-2026-0310</t>
  </si>
  <si>
    <t>ACT-754-SHO-0310</t>
  </si>
  <si>
    <t>TRX-2026-0311</t>
  </si>
  <si>
    <t>ACT-350-TIK-0311</t>
  </si>
  <si>
    <t>TRX-2026-0312</t>
  </si>
  <si>
    <t>ACT-161-LAZ-0312</t>
  </si>
  <si>
    <t>TRX-2026-0313</t>
  </si>
  <si>
    <t>ACT-448-BLI-0313</t>
  </si>
  <si>
    <t>TRX-2026-0314</t>
  </si>
  <si>
    <t>ACT-981-LAZ-0314</t>
  </si>
  <si>
    <t>TRX-2026-0315</t>
  </si>
  <si>
    <t>ACT-675-SHO-0315</t>
  </si>
  <si>
    <t>TRX-2026-0316</t>
  </si>
  <si>
    <t>ACT-560-SHO-0316</t>
  </si>
  <si>
    <t>TRX-2026-0317</t>
  </si>
  <si>
    <t>ACT-984-TOK-0317</t>
  </si>
  <si>
    <t>TRX-2026-0318</t>
  </si>
  <si>
    <t>ACT-691-SHO-0318</t>
  </si>
  <si>
    <t>TRX-2026-0319</t>
  </si>
  <si>
    <t>ACT-627-SHO-0319</t>
  </si>
  <si>
    <t>TRX-2026-0320</t>
  </si>
  <si>
    <t>ACT-502-LAZ-0320</t>
  </si>
  <si>
    <t>TRX-2026-0321</t>
  </si>
  <si>
    <t>ACT-151-SHO-0321</t>
  </si>
  <si>
    <t>TRX-2026-0322</t>
  </si>
  <si>
    <t>ACT-649-TIK-0322</t>
  </si>
  <si>
    <t>TRX-2026-0323</t>
  </si>
  <si>
    <t>ACT-474-BLI-0323</t>
  </si>
  <si>
    <t>TRX-2026-0324</t>
  </si>
  <si>
    <t>ACT-683-LAZ-0324</t>
  </si>
  <si>
    <t>TRX-2026-0325</t>
  </si>
  <si>
    <t>ACT-495-LAZ-0325</t>
  </si>
  <si>
    <t>TRX-2026-0326</t>
  </si>
  <si>
    <t>ACT-199-TIK-0326</t>
  </si>
  <si>
    <t>TRX-2026-0327</t>
  </si>
  <si>
    <t>ACT-303-LAZ-0327</t>
  </si>
  <si>
    <t>TRX-2026-0328</t>
  </si>
  <si>
    <t>ACT-240-TIK-0328</t>
  </si>
  <si>
    <t>TRX-2026-0329</t>
  </si>
  <si>
    <t>ACT-720-BLI-0329</t>
  </si>
  <si>
    <t>TRX-2026-0330</t>
  </si>
  <si>
    <t>ACT-502-LAZ-0330</t>
  </si>
  <si>
    <t>TRX-2026-0331</t>
  </si>
  <si>
    <t>ACT-676-TIK-0331</t>
  </si>
  <si>
    <t>TRX-2026-0332</t>
  </si>
  <si>
    <t>ACT-212-TOK-0332</t>
  </si>
  <si>
    <t>TRX-2026-0333</t>
  </si>
  <si>
    <t>ACT-771-TOK-0333</t>
  </si>
  <si>
    <t>TRX-2026-0334</t>
  </si>
  <si>
    <t>ACT-636-TOK-0334</t>
  </si>
  <si>
    <t>TRX-2026-0335</t>
  </si>
  <si>
    <t>ACT-686-SHO-0335</t>
  </si>
  <si>
    <t>TRX-2026-0336</t>
  </si>
  <si>
    <t>ACT-528-SHO-0336</t>
  </si>
  <si>
    <t>TRX-2026-0337</t>
  </si>
  <si>
    <t>ACT-844-SHO-0337</t>
  </si>
  <si>
    <t>TRX-2026-0338</t>
  </si>
  <si>
    <t>ACT-589-TIK-0338</t>
  </si>
  <si>
    <t>TRX-2026-0339</t>
  </si>
  <si>
    <t>ACT-450-LAZ-0339</t>
  </si>
  <si>
    <t>TRX-2026-0340</t>
  </si>
  <si>
    <t>ACT-352-LAZ-0340</t>
  </si>
  <si>
    <t>TRX-2026-0341</t>
  </si>
  <si>
    <t>ACT-312-SHO-0341</t>
  </si>
  <si>
    <t>TRX-2026-0342</t>
  </si>
  <si>
    <t>ACT-914-LAZ-0342</t>
  </si>
  <si>
    <t>TRX-2026-0343</t>
  </si>
  <si>
    <t>ACT-938-LAZ-0343</t>
  </si>
  <si>
    <t>TRX-2026-0344</t>
  </si>
  <si>
    <t>ACT-180-LAZ-0344</t>
  </si>
  <si>
    <t>TRX-2026-0345</t>
  </si>
  <si>
    <t>ACT-306-LAZ-0345</t>
  </si>
  <si>
    <t>TRX-2026-0346</t>
  </si>
  <si>
    <t>ACT-211-TIK-0346</t>
  </si>
  <si>
    <t>TRX-2026-0347</t>
  </si>
  <si>
    <t>ACT-338-SHO-0347</t>
  </si>
  <si>
    <t>TRX-2026-0348</t>
  </si>
  <si>
    <t>ACT-797-BLI-0348</t>
  </si>
  <si>
    <t>TRX-2026-0349</t>
  </si>
  <si>
    <t>ACT-768-TOK-0349</t>
  </si>
  <si>
    <t>TRX-2026-0350</t>
  </si>
  <si>
    <t>ACT-392-SHO-0350</t>
  </si>
  <si>
    <t>TRX-2026-0351</t>
  </si>
  <si>
    <t>ACT-856-TOK-0351</t>
  </si>
  <si>
    <t>TRX-2026-0352</t>
  </si>
  <si>
    <t>ACT-956-SHO-0352</t>
  </si>
  <si>
    <t>TRX-2026-0353</t>
  </si>
  <si>
    <t>ACT-109-SHO-0353</t>
  </si>
  <si>
    <t>TRX-2026-0354</t>
  </si>
  <si>
    <t>ACT-656-LAZ-0354</t>
  </si>
  <si>
    <t>TRX-2026-0355</t>
  </si>
  <si>
    <t>ACT-297-SHO-0355</t>
  </si>
  <si>
    <t>TRX-2026-0356</t>
  </si>
  <si>
    <t>ACT-363-LAZ-0356</t>
  </si>
  <si>
    <t>TRX-2026-0357</t>
  </si>
  <si>
    <t>ACT-681-TOK-0357</t>
  </si>
  <si>
    <t>TRX-2026-0358</t>
  </si>
  <si>
    <t>ACT-627-SHO-0358</t>
  </si>
  <si>
    <t>TRX-2026-0359</t>
  </si>
  <si>
    <t>ACT-243-BLI-0359</t>
  </si>
  <si>
    <t>TRX-2026-0360</t>
  </si>
  <si>
    <t>ACT-341-SHO-0360</t>
  </si>
  <si>
    <t>TRX-2026-0361</t>
  </si>
  <si>
    <t>ACT-769-LAZ-0361</t>
  </si>
  <si>
    <t>TRX-2026-0362</t>
  </si>
  <si>
    <t>ACT-414-TOK-0362</t>
  </si>
  <si>
    <t>TRX-2026-0363</t>
  </si>
  <si>
    <t>ACT-220-TIK-0363</t>
  </si>
  <si>
    <t>TRX-2026-0364</t>
  </si>
  <si>
    <t>ACT-236-LAZ-0364</t>
  </si>
  <si>
    <t>TRX-2026-0365</t>
  </si>
  <si>
    <t>ACT-818-BLI-0365</t>
  </si>
  <si>
    <t>TRX-2026-0366</t>
  </si>
  <si>
    <t>ACT-796-TIK-0366</t>
  </si>
  <si>
    <t>TRX-2026-0367</t>
  </si>
  <si>
    <t>ACT-677-TIK-0367</t>
  </si>
  <si>
    <t>TRX-2026-0368</t>
  </si>
  <si>
    <t>ACT-649-TIK-0368</t>
  </si>
  <si>
    <t>TRX-2026-0369</t>
  </si>
  <si>
    <t>ACT-796-LAZ-0369</t>
  </si>
  <si>
    <t>TRX-2026-0370</t>
  </si>
  <si>
    <t>ACT-564-TOK-0370</t>
  </si>
  <si>
    <t>TRX-2026-0371</t>
  </si>
  <si>
    <t>ACT-573-BLI-0371</t>
  </si>
  <si>
    <t>TRX-2026-0372</t>
  </si>
  <si>
    <t>ACT-863-TOK-0372</t>
  </si>
  <si>
    <t>TRX-2026-0373</t>
  </si>
  <si>
    <t>ACT-165-TOK-0373</t>
  </si>
  <si>
    <t>TRX-2026-0374</t>
  </si>
  <si>
    <t>ACT-393-TOK-0374</t>
  </si>
  <si>
    <t>TRX-2026-0375</t>
  </si>
  <si>
    <t>ACT-491-SHO-0375</t>
  </si>
  <si>
    <t>TRX-2026-0376</t>
  </si>
  <si>
    <t>ACT-980-BLI-0376</t>
  </si>
  <si>
    <t>TRX-2026-0377</t>
  </si>
  <si>
    <t>ACT-230-SHO-0377</t>
  </si>
  <si>
    <t>TRX-2026-0378</t>
  </si>
  <si>
    <t>ACT-574-TOK-0378</t>
  </si>
  <si>
    <t>TRX-2026-0379</t>
  </si>
  <si>
    <t>ACT-571-TIK-0379</t>
  </si>
  <si>
    <t>TRX-2026-0380</t>
  </si>
  <si>
    <t>ACT-928-LAZ-0380</t>
  </si>
  <si>
    <t>TRX-2026-0381</t>
  </si>
  <si>
    <t>ACT-311-TIK-0381</t>
  </si>
  <si>
    <t>TRX-2026-0382</t>
  </si>
  <si>
    <t>ACT-788-TIK-0382</t>
  </si>
  <si>
    <t>TRX-2026-0383</t>
  </si>
  <si>
    <t>ACT-549-SHO-0383</t>
  </si>
  <si>
    <t>TRX-2026-0384</t>
  </si>
  <si>
    <t>ACT-935-TOK-0384</t>
  </si>
  <si>
    <t>TRX-2026-0385</t>
  </si>
  <si>
    <t>ACT-409-TIK-0385</t>
  </si>
  <si>
    <t>TRX-2026-0386</t>
  </si>
  <si>
    <t>ACT-670-BLI-0386</t>
  </si>
  <si>
    <t>TRX-2026-0387</t>
  </si>
  <si>
    <t>ACT-452-BLI-0387</t>
  </si>
  <si>
    <t>TRX-2026-0388</t>
  </si>
  <si>
    <t>ACT-252-TIK-0388</t>
  </si>
  <si>
    <t>TRX-2026-0389</t>
  </si>
  <si>
    <t>ACT-969-SHO-0389</t>
  </si>
  <si>
    <t>TRX-2026-0390</t>
  </si>
  <si>
    <t>ACT-675-SHO-0390</t>
  </si>
  <si>
    <t>TRX-2026-0391</t>
  </si>
  <si>
    <t>ACT-348-TIK-0391</t>
  </si>
  <si>
    <t>TRX-2026-0392</t>
  </si>
  <si>
    <t>ACT-967-LAZ-0392</t>
  </si>
  <si>
    <t>TRX-2026-0393</t>
  </si>
  <si>
    <t>ACT-374-TIK-0393</t>
  </si>
  <si>
    <t>TRX-2026-0394</t>
  </si>
  <si>
    <t>ACT-313-TOK-0394</t>
  </si>
  <si>
    <t>TRX-2026-0395</t>
  </si>
  <si>
    <t>ACT-220-TOK-0395</t>
  </si>
  <si>
    <t>TRX-2026-0396</t>
  </si>
  <si>
    <t>ACT-345-SHO-0396</t>
  </si>
  <si>
    <t>TRX-2026-0397</t>
  </si>
  <si>
    <t>ACT-764-LAZ-0397</t>
  </si>
  <si>
    <t>TRX-2026-0398</t>
  </si>
  <si>
    <t>ACT-200-LAZ-0398</t>
  </si>
  <si>
    <t>TRX-2026-0399</t>
  </si>
  <si>
    <t>ACT-420-LAZ-0399</t>
  </si>
  <si>
    <t>TRX-2026-0400</t>
  </si>
  <si>
    <t>ACT-249-TIK-0400</t>
  </si>
  <si>
    <t>TRX-2026-0401</t>
  </si>
  <si>
    <t>ACT-256-TIK-0401</t>
  </si>
  <si>
    <t>TRX-2026-0402</t>
  </si>
  <si>
    <t>ACT-663-SHO-0402</t>
  </si>
  <si>
    <t>TRX-2026-0403</t>
  </si>
  <si>
    <t>ACT-757-LAZ-0403</t>
  </si>
  <si>
    <t>TRX-2026-0404</t>
  </si>
  <si>
    <t>ACT-243-BLI-0404</t>
  </si>
  <si>
    <t>TRX-2026-0405</t>
  </si>
  <si>
    <t>ACT-134-SHO-0405</t>
  </si>
  <si>
    <t>TRX-2026-0406</t>
  </si>
  <si>
    <t>ACT-240-TOK-0406</t>
  </si>
  <si>
    <t>TRX-2026-0407</t>
  </si>
  <si>
    <t>ACT-323-TOK-0407</t>
  </si>
  <si>
    <t>TRX-2026-0408</t>
  </si>
  <si>
    <t>ACT-599-LAZ-0408</t>
  </si>
  <si>
    <t>TRX-2026-0409</t>
  </si>
  <si>
    <t>ACT-117-TIK-0409</t>
  </si>
  <si>
    <t>TRX-2026-0410</t>
  </si>
  <si>
    <t>ACT-932-TIK-0410</t>
  </si>
  <si>
    <t>TRX-2026-0411</t>
  </si>
  <si>
    <t>ACT-252-SHO-0411</t>
  </si>
  <si>
    <t>TRX-2026-0412</t>
  </si>
  <si>
    <t>ACT-373-TIK-0412</t>
  </si>
  <si>
    <t>TRX-2026-0413</t>
  </si>
  <si>
    <t>ACT-678-TOK-0413</t>
  </si>
  <si>
    <t>TRX-2026-0414</t>
  </si>
  <si>
    <t>ACT-978-LAZ-0414</t>
  </si>
  <si>
    <t>TRX-2026-0415</t>
  </si>
  <si>
    <t>ACT-665-TOK-0415</t>
  </si>
  <si>
    <t>TRX-2026-0416</t>
  </si>
  <si>
    <t>ACT-611-TOK-0416</t>
  </si>
  <si>
    <t>TRX-2026-0417</t>
  </si>
  <si>
    <t>ACT-143-LAZ-0417</t>
  </si>
  <si>
    <t>TRX-2026-0418</t>
  </si>
  <si>
    <t>ACT-176-TIK-0418</t>
  </si>
  <si>
    <t>TRX-2026-0419</t>
  </si>
  <si>
    <t>ACT-970-TIK-0419</t>
  </si>
  <si>
    <t>TRX-2026-0420</t>
  </si>
  <si>
    <t>ACT-940-SHO-0420</t>
  </si>
  <si>
    <t>TRX-2026-0421</t>
  </si>
  <si>
    <t>ACT-954-LAZ-0421</t>
  </si>
  <si>
    <t>TRX-2026-0422</t>
  </si>
  <si>
    <t>ACT-243-TIK-0422</t>
  </si>
  <si>
    <t>TRX-2026-0423</t>
  </si>
  <si>
    <t>ACT-200-TIK-0423</t>
  </si>
  <si>
    <t>TRX-2026-0424</t>
  </si>
  <si>
    <t>ACT-130-TOK-0424</t>
  </si>
  <si>
    <t>TRX-2026-0425</t>
  </si>
  <si>
    <t>ACT-666-BLI-0425</t>
  </si>
  <si>
    <t>TRX-2026-0426</t>
  </si>
  <si>
    <t>ACT-890-SHO-0426</t>
  </si>
  <si>
    <t>TRX-2026-0427</t>
  </si>
  <si>
    <t>ACT-374-SHO-0427</t>
  </si>
  <si>
    <t>TRX-2026-0428</t>
  </si>
  <si>
    <t>ACT-469-SHO-0428</t>
  </si>
  <si>
    <t>TRX-2026-0429</t>
  </si>
  <si>
    <t>ACT-879-TOK-0429</t>
  </si>
  <si>
    <t>TRX-2026-0430</t>
  </si>
  <si>
    <t>ACT-559-SHO-0430</t>
  </si>
  <si>
    <t>TRX-2026-0431</t>
  </si>
  <si>
    <t>ACT-667-TOK-0431</t>
  </si>
  <si>
    <t>TRX-2026-0432</t>
  </si>
  <si>
    <t>ACT-497-BLI-0432</t>
  </si>
  <si>
    <t>TRX-2026-0433</t>
  </si>
  <si>
    <t>ACT-633-TIK-0433</t>
  </si>
  <si>
    <t>TRX-2026-0434</t>
  </si>
  <si>
    <t>ACT-374-SHO-0434</t>
  </si>
  <si>
    <t>TRX-2026-0435</t>
  </si>
  <si>
    <t>ACT-531-TOK-0435</t>
  </si>
  <si>
    <t>TRX-2026-0436</t>
  </si>
  <si>
    <t>ACT-838-TOK-0436</t>
  </si>
  <si>
    <t>TRX-2026-0437</t>
  </si>
  <si>
    <t>ACT-209-TIK-0437</t>
  </si>
  <si>
    <t>TRX-2026-0438</t>
  </si>
  <si>
    <t>ACT-489-TOK-0438</t>
  </si>
  <si>
    <t>TRX-2026-0439</t>
  </si>
  <si>
    <t>ACT-708-BLI-0439</t>
  </si>
  <si>
    <t>TRX-2026-0440</t>
  </si>
  <si>
    <t>ACT-421-LAZ-0440</t>
  </si>
  <si>
    <t>TRX-2026-0441</t>
  </si>
  <si>
    <t>ACT-900-LAZ-0441</t>
  </si>
  <si>
    <t>TRX-2026-0442</t>
  </si>
  <si>
    <t>ACT-216-BLI-0442</t>
  </si>
  <si>
    <t>TRX-2026-0443</t>
  </si>
  <si>
    <t>ACT-886-TIK-0443</t>
  </si>
  <si>
    <t>TRX-2026-0444</t>
  </si>
  <si>
    <t>ACT-916-BLI-0444</t>
  </si>
  <si>
    <t>TRX-2026-0445</t>
  </si>
  <si>
    <t>ACT-748-BLI-0445</t>
  </si>
  <si>
    <t>TRX-2026-0446</t>
  </si>
  <si>
    <t>ACT-533-LAZ-0446</t>
  </si>
  <si>
    <t>TRX-2026-0447</t>
  </si>
  <si>
    <t>ACT-510-TOK-0447</t>
  </si>
  <si>
    <t>TRX-2026-0448</t>
  </si>
  <si>
    <t>ACT-931-TIK-0448</t>
  </si>
  <si>
    <t>TRX-2026-0449</t>
  </si>
  <si>
    <t>ACT-780-TOK-0449</t>
  </si>
  <si>
    <t>TRX-2026-0450</t>
  </si>
  <si>
    <t>ACT-915-TIK-0450</t>
  </si>
  <si>
    <t>TRX-2026-0451</t>
  </si>
  <si>
    <t>ACT-622-TOK-0451</t>
  </si>
  <si>
    <t>TRX-2026-0452</t>
  </si>
  <si>
    <t>ACT-890-BLI-0452</t>
  </si>
  <si>
    <t>TRX-2026-0453</t>
  </si>
  <si>
    <t>ACT-402-LAZ-0453</t>
  </si>
  <si>
    <t>TRX-2026-0454</t>
  </si>
  <si>
    <t>ACT-419-TOK-0454</t>
  </si>
  <si>
    <t>TRX-2026-0455</t>
  </si>
  <si>
    <t>ACT-587-SHO-0455</t>
  </si>
  <si>
    <t>TRX-2026-0456</t>
  </si>
  <si>
    <t>ACT-145-BLI-0456</t>
  </si>
  <si>
    <t>TRX-2026-0457</t>
  </si>
  <si>
    <t>ACT-211-TOK-0457</t>
  </si>
  <si>
    <t>TRX-2026-0458</t>
  </si>
  <si>
    <t>ACT-263-SHO-0458</t>
  </si>
  <si>
    <t>TRX-2026-0459</t>
  </si>
  <si>
    <t>ACT-288-BLI-0459</t>
  </si>
  <si>
    <t>TRX-2026-0460</t>
  </si>
  <si>
    <t>ACT-706-BLI-0460</t>
  </si>
  <si>
    <t>TRX-2026-0461</t>
  </si>
  <si>
    <t>ACT-385-TOK-0461</t>
  </si>
  <si>
    <t>TRX-2026-0462</t>
  </si>
  <si>
    <t>ACT-433-TIK-0462</t>
  </si>
  <si>
    <t>TRX-2026-0463</t>
  </si>
  <si>
    <t>ACT-754-TOK-0463</t>
  </si>
  <si>
    <t>TRX-2026-0464</t>
  </si>
  <si>
    <t>ACT-460-TIK-0464</t>
  </si>
  <si>
    <t>TRX-2026-0465</t>
  </si>
  <si>
    <t>ACT-704-TIK-0465</t>
  </si>
  <si>
    <t>TRX-2026-0466</t>
  </si>
  <si>
    <t>ACT-219-LAZ-0466</t>
  </si>
  <si>
    <t>TRX-2026-0467</t>
  </si>
  <si>
    <t>ACT-710-SHO-0467</t>
  </si>
  <si>
    <t>TRX-2026-0468</t>
  </si>
  <si>
    <t>ACT-650-BLI-0468</t>
  </si>
  <si>
    <t>TRX-2026-0469</t>
  </si>
  <si>
    <t>ACT-243-TIK-0469</t>
  </si>
  <si>
    <t>TRX-2026-0470</t>
  </si>
  <si>
    <t>ACT-109-BLI-0470</t>
  </si>
  <si>
    <t>TRX-2026-0471</t>
  </si>
  <si>
    <t>ACT-617-SHO-0471</t>
  </si>
  <si>
    <t>TRX-2026-0472</t>
  </si>
  <si>
    <t>ACT-827-BLI-0472</t>
  </si>
  <si>
    <t>TRX-2026-0473</t>
  </si>
  <si>
    <t>ACT-131-BLI-0473</t>
  </si>
  <si>
    <t>TRX-2026-0474</t>
  </si>
  <si>
    <t>ACT-650-LAZ-0474</t>
  </si>
  <si>
    <t>TRX-2026-0475</t>
  </si>
  <si>
    <t>ACT-623-BLI-0475</t>
  </si>
  <si>
    <t>TRX-2026-0476</t>
  </si>
  <si>
    <t>ACT-942-LAZ-0476</t>
  </si>
  <si>
    <t>TRX-2026-0477</t>
  </si>
  <si>
    <t>ACT-204-BLI-0477</t>
  </si>
  <si>
    <t>TRX-2026-0478</t>
  </si>
  <si>
    <t>ACT-369-LAZ-0478</t>
  </si>
  <si>
    <t>TRX-2026-0479</t>
  </si>
  <si>
    <t>ACT-314-BLI-0479</t>
  </si>
  <si>
    <t>TRX-2026-0480</t>
  </si>
  <si>
    <t>ACT-730-TIK-0480</t>
  </si>
  <si>
    <t>TRX-2026-0481</t>
  </si>
  <si>
    <t>ACT-459-SHO-0481</t>
  </si>
  <si>
    <t>TRX-2026-0482</t>
  </si>
  <si>
    <t>ACT-820-TIK-0482</t>
  </si>
  <si>
    <t>TRX-2026-0483</t>
  </si>
  <si>
    <t>ACT-868-TIK-0483</t>
  </si>
  <si>
    <t>TRX-2026-0484</t>
  </si>
  <si>
    <t>ACT-986-TOK-0484</t>
  </si>
  <si>
    <t>TRX-2026-0485</t>
  </si>
  <si>
    <t>ACT-879-SHO-0485</t>
  </si>
  <si>
    <t>TRX-2026-0486</t>
  </si>
  <si>
    <t>ACT-524-BLI-0486</t>
  </si>
  <si>
    <t>TRX-2026-0487</t>
  </si>
  <si>
    <t>ACT-627-TOK-0487</t>
  </si>
  <si>
    <t>TRX-2026-0488</t>
  </si>
  <si>
    <t>ACT-695-LAZ-0488</t>
  </si>
  <si>
    <t>TRX-2026-0489</t>
  </si>
  <si>
    <t>ACT-914-BLI-0489</t>
  </si>
  <si>
    <t>TRX-2026-0490</t>
  </si>
  <si>
    <t>ACT-374-SHO-0490</t>
  </si>
  <si>
    <t>TRX-2026-0491</t>
  </si>
  <si>
    <t>ACT-972-LAZ-0491</t>
  </si>
  <si>
    <t>TRX-2026-0492</t>
  </si>
  <si>
    <t>ACT-902-TOK-0492</t>
  </si>
  <si>
    <t>TRX-2026-0493</t>
  </si>
  <si>
    <t>ACT-567-TOK-0493</t>
  </si>
  <si>
    <t>TRX-2026-0494</t>
  </si>
  <si>
    <t>ACT-409-SHO-0494</t>
  </si>
  <si>
    <t>TRX-2026-0495</t>
  </si>
  <si>
    <t>ACT-184-TOK-0495</t>
  </si>
  <si>
    <t>TRX-2026-0496</t>
  </si>
  <si>
    <t>ACT-816-TOK-0496</t>
  </si>
  <si>
    <t>TRX-2026-0497</t>
  </si>
  <si>
    <t>ACT-197-BLI-0497</t>
  </si>
  <si>
    <t>TRX-2026-0498</t>
  </si>
  <si>
    <t>ACT-331-BLI-0498</t>
  </si>
  <si>
    <t>TRX-2026-0499</t>
  </si>
  <si>
    <t>ACT-980-TOK-0499</t>
  </si>
  <si>
    <t>TRX-2026-0500</t>
  </si>
  <si>
    <t>ACT-191-BLI-0500</t>
  </si>
  <si>
    <t>TRX-2026-0501</t>
  </si>
  <si>
    <t>ACT-240-TOK-0501</t>
  </si>
  <si>
    <t>TRX-2026-0502</t>
  </si>
  <si>
    <t>ACT-765-SHO-0502</t>
  </si>
  <si>
    <t>TRX-2026-0503</t>
  </si>
  <si>
    <t>ACT-866-LAZ-0503</t>
  </si>
  <si>
    <t>TRX-2026-0504</t>
  </si>
  <si>
    <t>ACT-188-TIK-0504</t>
  </si>
  <si>
    <t>TRX-2026-0505</t>
  </si>
  <si>
    <t>ACT-539-TOK-0505</t>
  </si>
  <si>
    <t>TRX-2026-0506</t>
  </si>
  <si>
    <t>ACT-666-SHO-0506</t>
  </si>
  <si>
    <t>TRX-2026-0507</t>
  </si>
  <si>
    <t>ACT-630-TOK-0507</t>
  </si>
  <si>
    <t>TRX-2026-0508</t>
  </si>
  <si>
    <t>ACT-606-BLI-0508</t>
  </si>
  <si>
    <t>TRX-2026-0509</t>
  </si>
  <si>
    <t>ACT-112-SHO-0509</t>
  </si>
  <si>
    <t>TRX-2026-0510</t>
  </si>
  <si>
    <t>ACT-659-SHO-0510</t>
  </si>
  <si>
    <t>TRX-2026-0511</t>
  </si>
  <si>
    <t>ACT-701-BLI-0511</t>
  </si>
  <si>
    <t>TRX-2026-0512</t>
  </si>
  <si>
    <t>ACT-908-LAZ-0512</t>
  </si>
  <si>
    <t>TRX-2026-0513</t>
  </si>
  <si>
    <t>ACT-818-TIK-0513</t>
  </si>
  <si>
    <t>TRX-2026-0514</t>
  </si>
  <si>
    <t>ACT-185-TIK-0514</t>
  </si>
  <si>
    <t>TRX-2026-0515</t>
  </si>
  <si>
    <t>ACT-649-TIK-0515</t>
  </si>
  <si>
    <t>TRX-2026-0516</t>
  </si>
  <si>
    <t>ACT-815-TIK-0516</t>
  </si>
  <si>
    <t>TRX-2026-0517</t>
  </si>
  <si>
    <t>ACT-218-TOK-0517</t>
  </si>
  <si>
    <t>TRX-2026-0518</t>
  </si>
  <si>
    <t>ACT-112-LAZ-0518</t>
  </si>
  <si>
    <t>TRX-2026-0519</t>
  </si>
  <si>
    <t>ACT-635-TOK-0519</t>
  </si>
  <si>
    <t>TRX-2026-0520</t>
  </si>
  <si>
    <t>ACT-899-SHO-0520</t>
  </si>
  <si>
    <t>TRX-2026-0521</t>
  </si>
  <si>
    <t>ACT-636-TOK-0521</t>
  </si>
  <si>
    <t>TRX-2026-0522</t>
  </si>
  <si>
    <t>ACT-566-TIK-0522</t>
  </si>
  <si>
    <t>TRX-2026-0523</t>
  </si>
  <si>
    <t>ACT-261-TOK-0523</t>
  </si>
  <si>
    <t>TRX-2026-0524</t>
  </si>
  <si>
    <t>ACT-858-TIK-0524</t>
  </si>
  <si>
    <t>TRX-2026-0525</t>
  </si>
  <si>
    <t>ACT-147-TOK-0525</t>
  </si>
  <si>
    <t>TRX-2026-0526</t>
  </si>
  <si>
    <t>ACT-978-BLI-0526</t>
  </si>
  <si>
    <t>TRX-2026-0527</t>
  </si>
  <si>
    <t>ACT-837-SHO-0527</t>
  </si>
  <si>
    <t>TRX-2026-0528</t>
  </si>
  <si>
    <t>ACT-614-TOK-0528</t>
  </si>
  <si>
    <t>TRX-2026-0529</t>
  </si>
  <si>
    <t>ACT-170-SHO-0529</t>
  </si>
  <si>
    <t>TRX-2026-0530</t>
  </si>
  <si>
    <t>ACT-567-LAZ-0530</t>
  </si>
  <si>
    <t>TRX-2026-0531</t>
  </si>
  <si>
    <t>ACT-737-SHO-0531</t>
  </si>
  <si>
    <t>TRX-2026-0532</t>
  </si>
  <si>
    <t>ACT-850-LAZ-0532</t>
  </si>
  <si>
    <t>TRX-2026-0533</t>
  </si>
  <si>
    <t>ACT-338-SHO-0533</t>
  </si>
  <si>
    <t>TRX-2026-0534</t>
  </si>
  <si>
    <t>ACT-485-TOK-0534</t>
  </si>
  <si>
    <t>TRX-2026-0535</t>
  </si>
  <si>
    <t>ACT-603-TOK-0535</t>
  </si>
  <si>
    <t>TRX-2026-0536</t>
  </si>
  <si>
    <t>ACT-965-LAZ-0536</t>
  </si>
  <si>
    <t>TRX-2026-0537</t>
  </si>
  <si>
    <t>ACT-197-LAZ-0537</t>
  </si>
  <si>
    <t>TRX-2026-0538</t>
  </si>
  <si>
    <t>ACT-778-BLI-0538</t>
  </si>
  <si>
    <t>TRX-2026-0539</t>
  </si>
  <si>
    <t>ACT-817-LAZ-0539</t>
  </si>
  <si>
    <t>TRX-2026-0540</t>
  </si>
  <si>
    <t>ACT-176-LAZ-0540</t>
  </si>
  <si>
    <t>TRX-2026-0541</t>
  </si>
  <si>
    <t>ACT-268-TIK-0541</t>
  </si>
  <si>
    <t>TRX-2026-0542</t>
  </si>
  <si>
    <t>ACT-466-LAZ-0542</t>
  </si>
  <si>
    <t>TRX-2026-0543</t>
  </si>
  <si>
    <t>ACT-972-BLI-0543</t>
  </si>
  <si>
    <t>TRX-2026-0544</t>
  </si>
  <si>
    <t>ACT-813-SHO-0544</t>
  </si>
  <si>
    <t>TRX-2026-0545</t>
  </si>
  <si>
    <t>ACT-193-SHO-0545</t>
  </si>
  <si>
    <t>TRX-2026-0546</t>
  </si>
  <si>
    <t>ACT-406-LAZ-0546</t>
  </si>
  <si>
    <t>TRX-2026-0547</t>
  </si>
  <si>
    <t>ACT-866-TOK-0547</t>
  </si>
  <si>
    <t>TRX-2026-0548</t>
  </si>
  <si>
    <t>ACT-224-TOK-0548</t>
  </si>
  <si>
    <t>TRX-2026-0549</t>
  </si>
  <si>
    <t>ACT-481-SHO-0549</t>
  </si>
  <si>
    <t>TRX-2026-0550</t>
  </si>
  <si>
    <t>ACT-122-TIK-0550</t>
  </si>
  <si>
    <t>TRX-2026-0551</t>
  </si>
  <si>
    <t>ACT-967-BLI-0551</t>
  </si>
  <si>
    <t>TRX-2026-0552</t>
  </si>
  <si>
    <t>ACT-272-TOK-0552</t>
  </si>
  <si>
    <t>TRX-2026-0553</t>
  </si>
  <si>
    <t>ACT-799-BLI-0553</t>
  </si>
  <si>
    <t>TRX-2026-0554</t>
  </si>
  <si>
    <t>ACT-386-LAZ-0554</t>
  </si>
  <si>
    <t>TRX-2026-0555</t>
  </si>
  <si>
    <t>ACT-402-TOK-0555</t>
  </si>
  <si>
    <t>TRX-2026-0556</t>
  </si>
  <si>
    <t>ACT-386-TIK-0556</t>
  </si>
  <si>
    <t>TRX-2026-0557</t>
  </si>
  <si>
    <t>ACT-921-BLI-0557</t>
  </si>
  <si>
    <t>TRX-2026-0558</t>
  </si>
  <si>
    <t>ACT-657-BLI-0558</t>
  </si>
  <si>
    <t>TRX-2026-0559</t>
  </si>
  <si>
    <t>ACT-376-LAZ-0559</t>
  </si>
  <si>
    <t>TRX-2026-0560</t>
  </si>
  <si>
    <t>ACT-930-LAZ-0560</t>
  </si>
  <si>
    <t>TRX-2026-0561</t>
  </si>
  <si>
    <t>ACT-466-TOK-0561</t>
  </si>
  <si>
    <t>TRX-2026-0562</t>
  </si>
  <si>
    <t>ACT-346-SHO-0562</t>
  </si>
  <si>
    <t>TRX-2026-0563</t>
  </si>
  <si>
    <t>ACT-959-SHO-0563</t>
  </si>
  <si>
    <t>TRX-2026-0564</t>
  </si>
  <si>
    <t>ACT-814-SHO-0564</t>
  </si>
  <si>
    <t>TRX-2026-0565</t>
  </si>
  <si>
    <t>ACT-292-LAZ-0565</t>
  </si>
  <si>
    <t>TRX-2026-0566</t>
  </si>
  <si>
    <t>ACT-138-TIK-0566</t>
  </si>
  <si>
    <t>TRX-2026-0567</t>
  </si>
  <si>
    <t>ACT-639-SHO-0567</t>
  </si>
  <si>
    <t>TRX-2026-0568</t>
  </si>
  <si>
    <t>ACT-448-LAZ-0568</t>
  </si>
  <si>
    <t>TRX-2026-0569</t>
  </si>
  <si>
    <t>ACT-700-LAZ-0569</t>
  </si>
  <si>
    <t>TRX-2026-0570</t>
  </si>
  <si>
    <t>ACT-482-TOK-0570</t>
  </si>
  <si>
    <t>TRX-2026-0571</t>
  </si>
  <si>
    <t>ACT-430-TIK-0571</t>
  </si>
  <si>
    <t>TRX-2026-0572</t>
  </si>
  <si>
    <t>ACT-424-BLI-0572</t>
  </si>
  <si>
    <t>TRX-2026-0573</t>
  </si>
  <si>
    <t>ACT-414-SHO-0573</t>
  </si>
  <si>
    <t>TRX-2026-0574</t>
  </si>
  <si>
    <t>ACT-686-SHO-0574</t>
  </si>
  <si>
    <t>TRX-2026-0575</t>
  </si>
  <si>
    <t>ACT-326-SHO-0575</t>
  </si>
  <si>
    <t>TRX-2026-0576</t>
  </si>
  <si>
    <t>ACT-179-BLI-0576</t>
  </si>
  <si>
    <t>TRX-2026-0577</t>
  </si>
  <si>
    <t>ACT-786-LAZ-0577</t>
  </si>
  <si>
    <t>TRX-2026-0578</t>
  </si>
  <si>
    <t>ACT-355-BLI-0578</t>
  </si>
  <si>
    <t>TRX-2026-0579</t>
  </si>
  <si>
    <t>ACT-101-LAZ-0579</t>
  </si>
  <si>
    <t>TRX-2026-0580</t>
  </si>
  <si>
    <t>ACT-523-BLI-0580</t>
  </si>
  <si>
    <t>TRX-2026-0581</t>
  </si>
  <si>
    <t>ACT-948-LAZ-0581</t>
  </si>
  <si>
    <t>TRX-2026-0582</t>
  </si>
  <si>
    <t>ACT-401-SHO-0582</t>
  </si>
  <si>
    <t>TRX-2026-0583</t>
  </si>
  <si>
    <t>ACT-274-LAZ-0583</t>
  </si>
  <si>
    <t>TRX-2026-0584</t>
  </si>
  <si>
    <t>ACT-708-TOK-0584</t>
  </si>
  <si>
    <t>TRX-2026-0585</t>
  </si>
  <si>
    <t>ACT-544-TOK-0585</t>
  </si>
  <si>
    <t>TRX-2026-0586</t>
  </si>
  <si>
    <t>ACT-519-TOK-0586</t>
  </si>
  <si>
    <t>TRX-2026-0587</t>
  </si>
  <si>
    <t>ACT-150-LAZ-0587</t>
  </si>
  <si>
    <t>TRX-2026-0588</t>
  </si>
  <si>
    <t>ACT-537-SHO-0588</t>
  </si>
  <si>
    <t>TRX-2026-0589</t>
  </si>
  <si>
    <t>ACT-126-TIK-0589</t>
  </si>
  <si>
    <t>TRX-2026-0590</t>
  </si>
  <si>
    <t>ACT-415-LAZ-0590</t>
  </si>
  <si>
    <t>TRX-2026-0591</t>
  </si>
  <si>
    <t>ACT-757-BLI-0591</t>
  </si>
  <si>
    <t>TRX-2026-0592</t>
  </si>
  <si>
    <t>ACT-291-SHO-0592</t>
  </si>
  <si>
    <t>TRX-2026-0593</t>
  </si>
  <si>
    <t>ACT-331-LAZ-0593</t>
  </si>
  <si>
    <t>TRX-2026-0594</t>
  </si>
  <si>
    <t>ACT-783-TIK-0594</t>
  </si>
  <si>
    <t>TRX-2026-0595</t>
  </si>
  <si>
    <t>ACT-332-LAZ-0595</t>
  </si>
  <si>
    <t>TRX-2026-0596</t>
  </si>
  <si>
    <t>ACT-803-BLI-0596</t>
  </si>
  <si>
    <t>TRX-2026-0597</t>
  </si>
  <si>
    <t>ACT-974-BLI-0597</t>
  </si>
  <si>
    <t>TRX-2026-0598</t>
  </si>
  <si>
    <t>ACT-875-TIK-0598</t>
  </si>
  <si>
    <t>TRX-2026-0599</t>
  </si>
  <si>
    <t>ACT-143-SHO-0599</t>
  </si>
  <si>
    <t>TRX-2026-0600</t>
  </si>
  <si>
    <t>ACT-364-BLI-0600</t>
  </si>
  <si>
    <t>TRX-2026-0601</t>
  </si>
  <si>
    <t>ACT-433-TOK-0601</t>
  </si>
  <si>
    <t>TRX-2026-0602</t>
  </si>
  <si>
    <t>ACT-738-TIK-0602</t>
  </si>
  <si>
    <t>TRX-2026-0603</t>
  </si>
  <si>
    <t>ACT-680-TOK-0603</t>
  </si>
  <si>
    <t>TRX-2026-0604</t>
  </si>
  <si>
    <t>ACT-988-TOK-0604</t>
  </si>
  <si>
    <t>TRX-2026-0605</t>
  </si>
  <si>
    <t>ACT-597-BLI-0605</t>
  </si>
  <si>
    <t>TRX-2026-0606</t>
  </si>
  <si>
    <t>ACT-247-TOK-0606</t>
  </si>
  <si>
    <t>TRX-2026-0607</t>
  </si>
  <si>
    <t>ACT-343-TOK-0607</t>
  </si>
  <si>
    <t>TRX-2026-0608</t>
  </si>
  <si>
    <t>ACT-445-LAZ-0608</t>
  </si>
  <si>
    <t>TRX-2026-0609</t>
  </si>
  <si>
    <t>ACT-801-LAZ-0609</t>
  </si>
  <si>
    <t>TRX-2026-0610</t>
  </si>
  <si>
    <t>ACT-375-SHO-0610</t>
  </si>
  <si>
    <t>TRX-2026-0611</t>
  </si>
  <si>
    <t>ACT-552-TIK-0611</t>
  </si>
  <si>
    <t>TRX-2026-0612</t>
  </si>
  <si>
    <t>ACT-627-BLI-0612</t>
  </si>
  <si>
    <t>TRX-2026-0613</t>
  </si>
  <si>
    <t>ACT-899-TOK-0613</t>
  </si>
  <si>
    <t>TRX-2026-0614</t>
  </si>
  <si>
    <t>ACT-355-SHO-0614</t>
  </si>
  <si>
    <t>TRX-2026-0615</t>
  </si>
  <si>
    <t>ACT-303-TOK-0615</t>
  </si>
  <si>
    <t>TRX-2026-0616</t>
  </si>
  <si>
    <t>ACT-226-BLI-0616</t>
  </si>
  <si>
    <t>TRX-2026-0617</t>
  </si>
  <si>
    <t>ACT-556-SHO-0617</t>
  </si>
  <si>
    <t>TRX-2026-0618</t>
  </si>
  <si>
    <t>ACT-267-TIK-0618</t>
  </si>
  <si>
    <t>TRX-2026-0619</t>
  </si>
  <si>
    <t>ACT-150-TOK-0619</t>
  </si>
  <si>
    <t>TRX-2026-0620</t>
  </si>
  <si>
    <t>ACT-311-SHO-0620</t>
  </si>
  <si>
    <t>TRX-2026-0621</t>
  </si>
  <si>
    <t>ACT-235-TIK-0621</t>
  </si>
  <si>
    <t>TRX-2026-0622</t>
  </si>
  <si>
    <t>ACT-358-TIK-0622</t>
  </si>
  <si>
    <t>TRX-2026-0623</t>
  </si>
  <si>
    <t>ACT-570-LAZ-0623</t>
  </si>
  <si>
    <t>TRX-2026-0624</t>
  </si>
  <si>
    <t>ACT-204-BLI-0624</t>
  </si>
  <si>
    <t>TRX-2026-0625</t>
  </si>
  <si>
    <t>ACT-800-TIK-0625</t>
  </si>
  <si>
    <t>TRX-2026-0626</t>
  </si>
  <si>
    <t>ACT-432-TOK-0626</t>
  </si>
  <si>
    <t>TRX-2026-0627</t>
  </si>
  <si>
    <t>ACT-253-LAZ-0627</t>
  </si>
  <si>
    <t>TRX-2026-0628</t>
  </si>
  <si>
    <t>ACT-427-TOK-0628</t>
  </si>
  <si>
    <t>TRX-2026-0629</t>
  </si>
  <si>
    <t>ACT-365-TOK-0629</t>
  </si>
  <si>
    <t>TRX-2026-0630</t>
  </si>
  <si>
    <t>ACT-825-BLI-0630</t>
  </si>
  <si>
    <t>TRX-2026-0631</t>
  </si>
  <si>
    <t>ACT-647-LAZ-0631</t>
  </si>
  <si>
    <t>TRX-2026-0632</t>
  </si>
  <si>
    <t>ACT-960-LAZ-0632</t>
  </si>
  <si>
    <t>TRX-2026-0633</t>
  </si>
  <si>
    <t>ACT-858-LAZ-0633</t>
  </si>
  <si>
    <t>TRX-2026-0634</t>
  </si>
  <si>
    <t>ACT-463-LAZ-0634</t>
  </si>
  <si>
    <t>TRX-2026-0635</t>
  </si>
  <si>
    <t>ACT-366-BLI-0635</t>
  </si>
  <si>
    <t>TRX-2026-0636</t>
  </si>
  <si>
    <t>ACT-154-BLI-0636</t>
  </si>
  <si>
    <t>TRX-2026-0637</t>
  </si>
  <si>
    <t>ACT-222-BLI-0637</t>
  </si>
  <si>
    <t>TRX-2026-0638</t>
  </si>
  <si>
    <t>ACT-991-TIK-0638</t>
  </si>
  <si>
    <t>TRX-2026-0639</t>
  </si>
  <si>
    <t>ACT-683-SHO-0639</t>
  </si>
  <si>
    <t>TRX-2026-0640</t>
  </si>
  <si>
    <t>ACT-599-LAZ-0640</t>
  </si>
  <si>
    <t>TRX-2026-0641</t>
  </si>
  <si>
    <t>ACT-562-LAZ-0641</t>
  </si>
  <si>
    <t>TRX-2026-0642</t>
  </si>
  <si>
    <t>ACT-904-SHO-0642</t>
  </si>
  <si>
    <t>TRX-2026-0643</t>
  </si>
  <si>
    <t>ACT-539-SHO-0643</t>
  </si>
  <si>
    <t>TRX-2026-0644</t>
  </si>
  <si>
    <t>ACT-646-BLI-0644</t>
  </si>
  <si>
    <t>TRX-2026-0645</t>
  </si>
  <si>
    <t>ACT-295-TOK-0645</t>
  </si>
  <si>
    <t>TRX-2026-0646</t>
  </si>
  <si>
    <t>ACT-232-SHO-0646</t>
  </si>
  <si>
    <t>TRX-2026-0647</t>
  </si>
  <si>
    <t>ACT-166-TIK-0647</t>
  </si>
  <si>
    <t>TRX-2026-0648</t>
  </si>
  <si>
    <t>ACT-632-LAZ-0648</t>
  </si>
  <si>
    <t>TRX-2026-0649</t>
  </si>
  <si>
    <t>ACT-601-BLI-0649</t>
  </si>
  <si>
    <t>TRX-2026-0650</t>
  </si>
  <si>
    <t>ACT-333-SHO-0650</t>
  </si>
  <si>
    <t>TRX-2026-0651</t>
  </si>
  <si>
    <t>ACT-616-SHO-0651</t>
  </si>
  <si>
    <t>TRX-2026-0652</t>
  </si>
  <si>
    <t>ACT-997-LAZ-0652</t>
  </si>
  <si>
    <t>TRX-2026-0653</t>
  </si>
  <si>
    <t>ACT-149-TIK-0653</t>
  </si>
  <si>
    <t>TRX-2026-0654</t>
  </si>
  <si>
    <t>ACT-554-TOK-0654</t>
  </si>
  <si>
    <t>TRX-2026-0655</t>
  </si>
  <si>
    <t>ACT-256-TIK-0655</t>
  </si>
  <si>
    <t>TRX-2026-0656</t>
  </si>
  <si>
    <t>ACT-632-LAZ-0656</t>
  </si>
  <si>
    <t>TRX-2026-0657</t>
  </si>
  <si>
    <t>ACT-836-BLI-0657</t>
  </si>
  <si>
    <t>TRX-2026-0658</t>
  </si>
  <si>
    <t>ACT-303-LAZ-0658</t>
  </si>
  <si>
    <t>TRX-2026-0659</t>
  </si>
  <si>
    <t>ACT-820-LAZ-0659</t>
  </si>
  <si>
    <t>TRX-2026-0660</t>
  </si>
  <si>
    <t>ACT-804-SHO-0660</t>
  </si>
  <si>
    <t>TRX-2026-0661</t>
  </si>
  <si>
    <t>ACT-191-SHO-0661</t>
  </si>
  <si>
    <t>TRX-2026-0662</t>
  </si>
  <si>
    <t>ACT-840-SHO-0662</t>
  </si>
  <si>
    <t>TRX-2026-0663</t>
  </si>
  <si>
    <t>ACT-575-SHO-0663</t>
  </si>
  <si>
    <t>TRX-2026-0664</t>
  </si>
  <si>
    <t>ACT-468-SHO-0664</t>
  </si>
  <si>
    <t>TRX-2026-0665</t>
  </si>
  <si>
    <t>ACT-971-BLI-0665</t>
  </si>
  <si>
    <t>TRX-2026-0666</t>
  </si>
  <si>
    <t>ACT-762-TOK-0666</t>
  </si>
  <si>
    <t>TRX-2026-0667</t>
  </si>
  <si>
    <t>ACT-374-LAZ-0667</t>
  </si>
  <si>
    <t>TRX-2026-0668</t>
  </si>
  <si>
    <t>ACT-216-LAZ-0668</t>
  </si>
  <si>
    <t>TRX-2026-0669</t>
  </si>
  <si>
    <t>ACT-971-BLI-0669</t>
  </si>
  <si>
    <t>TRX-2026-0670</t>
  </si>
  <si>
    <t>ACT-843-SHO-0670</t>
  </si>
  <si>
    <t>TRX-2026-0671</t>
  </si>
  <si>
    <t>ACT-794-TOK-0671</t>
  </si>
  <si>
    <t>TRX-2026-0672</t>
  </si>
  <si>
    <t>ACT-129-TIK-0672</t>
  </si>
  <si>
    <t>TRX-2026-0673</t>
  </si>
  <si>
    <t>ACT-521-BLI-0673</t>
  </si>
  <si>
    <t>TRX-2026-0674</t>
  </si>
  <si>
    <t>ACT-821-TOK-0674</t>
  </si>
  <si>
    <t>TRX-2026-0675</t>
  </si>
  <si>
    <t>ACT-777-LAZ-0675</t>
  </si>
  <si>
    <t>TRX-2026-0676</t>
  </si>
  <si>
    <t>ACT-959-BLI-0676</t>
  </si>
  <si>
    <t>TRX-2026-0677</t>
  </si>
  <si>
    <t>ACT-969-TOK-0677</t>
  </si>
  <si>
    <t>TRX-2026-0678</t>
  </si>
  <si>
    <t>ACT-346-SHO-0678</t>
  </si>
  <si>
    <t>TRX-2026-0679</t>
  </si>
  <si>
    <t>ACT-758-TOK-0679</t>
  </si>
  <si>
    <t>TRX-2026-0680</t>
  </si>
  <si>
    <t>ACT-920-SHO-0680</t>
  </si>
  <si>
    <t>TRX-2026-0681</t>
  </si>
  <si>
    <t>ACT-423-TOK-0681</t>
  </si>
  <si>
    <t>TRX-2026-0682</t>
  </si>
  <si>
    <t>ACT-136-TOK-0682</t>
  </si>
  <si>
    <t>TRX-2026-0683</t>
  </si>
  <si>
    <t>ACT-675-TOK-0683</t>
  </si>
  <si>
    <t>TRX-2026-0684</t>
  </si>
  <si>
    <t>ACT-964-LAZ-0684</t>
  </si>
  <si>
    <t>TRX-2026-0685</t>
  </si>
  <si>
    <t>ACT-772-TIK-0685</t>
  </si>
  <si>
    <t>TRX-2026-0686</t>
  </si>
  <si>
    <t>ACT-449-TOK-0686</t>
  </si>
  <si>
    <t>TRX-2026-0687</t>
  </si>
  <si>
    <t>ACT-208-TIK-0687</t>
  </si>
  <si>
    <t>TRX-2026-0688</t>
  </si>
  <si>
    <t>ACT-360-BLI-0688</t>
  </si>
  <si>
    <t>TRX-2026-0689</t>
  </si>
  <si>
    <t>ACT-568-SHO-0689</t>
  </si>
  <si>
    <t>TRX-2026-0690</t>
  </si>
  <si>
    <t>ACT-748-LAZ-0690</t>
  </si>
  <si>
    <t>TRX-2026-0691</t>
  </si>
  <si>
    <t>ACT-104-BLI-0691</t>
  </si>
  <si>
    <t>TRX-2026-0692</t>
  </si>
  <si>
    <t>ACT-594-TIK-0692</t>
  </si>
  <si>
    <t>TRX-2026-0693</t>
  </si>
  <si>
    <t>ACT-496-TIK-0693</t>
  </si>
  <si>
    <t>TRX-2026-0694</t>
  </si>
  <si>
    <t>ACT-723-TIK-0694</t>
  </si>
  <si>
    <t>TRX-2026-0695</t>
  </si>
  <si>
    <t>ACT-563-LAZ-0695</t>
  </si>
  <si>
    <t>TRX-2026-0696</t>
  </si>
  <si>
    <t>ACT-660-SHO-0696</t>
  </si>
  <si>
    <t>TRX-2026-0697</t>
  </si>
  <si>
    <t>ACT-314-TIK-0697</t>
  </si>
  <si>
    <t>TRX-2026-0698</t>
  </si>
  <si>
    <t>ACT-765-LAZ-0698</t>
  </si>
  <si>
    <t>TRX-2026-0699</t>
  </si>
  <si>
    <t>ACT-591-TOK-0699</t>
  </si>
  <si>
    <t>TRX-2026-0700</t>
  </si>
  <si>
    <t>ACT-635-TIK-0700</t>
  </si>
  <si>
    <t>TRX-2026-0701</t>
  </si>
  <si>
    <t>ACT-157-BLI-0701</t>
  </si>
  <si>
    <t>TRX-2026-0702</t>
  </si>
  <si>
    <t>ACT-959-SHO-0702</t>
  </si>
  <si>
    <t>TRX-2026-0703</t>
  </si>
  <si>
    <t>ACT-933-SHO-0703</t>
  </si>
  <si>
    <t>TRX-2026-0704</t>
  </si>
  <si>
    <t>ACT-762-TIK-0704</t>
  </si>
  <si>
    <t>TRX-2026-0705</t>
  </si>
  <si>
    <t>ACT-780-SHO-0705</t>
  </si>
  <si>
    <t>TRX-2026-0706</t>
  </si>
  <si>
    <t>ACT-155-BLI-0706</t>
  </si>
  <si>
    <t>TRX-2026-0707</t>
  </si>
  <si>
    <t>ACT-748-SHO-0707</t>
  </si>
  <si>
    <t>TRX-2026-0708</t>
  </si>
  <si>
    <t>ACT-298-TIK-0708</t>
  </si>
  <si>
    <t>TRX-2026-0709</t>
  </si>
  <si>
    <t>ACT-277-SHO-0709</t>
  </si>
  <si>
    <t>TRX-2026-0710</t>
  </si>
  <si>
    <t>ACT-669-BLI-0710</t>
  </si>
  <si>
    <t>TRX-2026-0711</t>
  </si>
  <si>
    <t>ACT-438-SHO-0711</t>
  </si>
  <si>
    <t>TRX-2026-0712</t>
  </si>
  <si>
    <t>ACT-152-TOK-0712</t>
  </si>
  <si>
    <t>TRX-2026-0713</t>
  </si>
  <si>
    <t>ACT-902-BLI-0713</t>
  </si>
  <si>
    <t>TRX-2026-0714</t>
  </si>
  <si>
    <t>ACT-169-TIK-0714</t>
  </si>
  <si>
    <t>TRX-2026-0715</t>
  </si>
  <si>
    <t>ACT-457-BLI-0715</t>
  </si>
  <si>
    <t>TRX-2026-0716</t>
  </si>
  <si>
    <t>ACT-323-LAZ-0716</t>
  </si>
  <si>
    <t>TRX-2026-0717</t>
  </si>
  <si>
    <t>ACT-784-TIK-0717</t>
  </si>
  <si>
    <t>TRX-2026-0718</t>
  </si>
  <si>
    <t>ACT-798-SHO-0718</t>
  </si>
  <si>
    <t>TRX-2026-0719</t>
  </si>
  <si>
    <t>ACT-841-TOK-0719</t>
  </si>
  <si>
    <t>TRX-2026-0720</t>
  </si>
  <si>
    <t>ACT-922-TIK-0720</t>
  </si>
  <si>
    <t>TRX-2026-0721</t>
  </si>
  <si>
    <t>ACT-297-BLI-0721</t>
  </si>
  <si>
    <t>TRX-2026-0722</t>
  </si>
  <si>
    <t>ACT-167-TOK-0722</t>
  </si>
  <si>
    <t>TRX-2026-0723</t>
  </si>
  <si>
    <t>ACT-650-BLI-0723</t>
  </si>
  <si>
    <t>TRX-2026-0724</t>
  </si>
  <si>
    <t>ACT-570-TOK-0724</t>
  </si>
  <si>
    <t>TRX-2026-0725</t>
  </si>
  <si>
    <t>ACT-282-TOK-0725</t>
  </si>
  <si>
    <t>TRX-2026-0726</t>
  </si>
  <si>
    <t>ACT-517-TIK-0726</t>
  </si>
  <si>
    <t>TRX-2026-0727</t>
  </si>
  <si>
    <t>ACT-498-BLI-0727</t>
  </si>
  <si>
    <t>TRX-2026-0728</t>
  </si>
  <si>
    <t>ACT-699-TIK-0728</t>
  </si>
  <si>
    <t>TRX-2026-0729</t>
  </si>
  <si>
    <t>ACT-905-LAZ-0729</t>
  </si>
  <si>
    <t>TRX-2026-0730</t>
  </si>
  <si>
    <t>ACT-490-TIK-0730</t>
  </si>
  <si>
    <t>TRX-2026-0731</t>
  </si>
  <si>
    <t>ACT-864-BLI-0731</t>
  </si>
  <si>
    <t>TRX-2026-0732</t>
  </si>
  <si>
    <t>ACT-666-SHO-0732</t>
  </si>
  <si>
    <t>TRX-2026-0733</t>
  </si>
  <si>
    <t>ACT-710-TOK-0733</t>
  </si>
  <si>
    <t>TRX-2026-0734</t>
  </si>
  <si>
    <t>ACT-522-LAZ-0734</t>
  </si>
  <si>
    <t>TRX-2026-0735</t>
  </si>
  <si>
    <t>ACT-954-SHO-0735</t>
  </si>
  <si>
    <t>TRX-2026-0736</t>
  </si>
  <si>
    <t>ACT-572-TOK-0736</t>
  </si>
  <si>
    <t>TRX-2026-0737</t>
  </si>
  <si>
    <t>ACT-200-LAZ-0737</t>
  </si>
  <si>
    <t>TRX-2026-0738</t>
  </si>
  <si>
    <t>ACT-771-LAZ-0738</t>
  </si>
  <si>
    <t>TRX-2026-0739</t>
  </si>
  <si>
    <t>ACT-425-LAZ-0739</t>
  </si>
  <si>
    <t>TRX-2026-0740</t>
  </si>
  <si>
    <t>ACT-698-LAZ-0740</t>
  </si>
  <si>
    <t>TRX-2026-0741</t>
  </si>
  <si>
    <t>ACT-420-LAZ-0741</t>
  </si>
  <si>
    <t>TRX-2026-0742</t>
  </si>
  <si>
    <t>ACT-795-BLI-0742</t>
  </si>
  <si>
    <t>TRX-2026-0743</t>
  </si>
  <si>
    <t>ACT-893-BLI-0743</t>
  </si>
  <si>
    <t>TRX-2026-0744</t>
  </si>
  <si>
    <t>ACT-721-TIK-0744</t>
  </si>
  <si>
    <t>TRX-2026-0745</t>
  </si>
  <si>
    <t>ACT-851-SHO-0745</t>
  </si>
  <si>
    <t>TRX-2026-0746</t>
  </si>
  <si>
    <t>ACT-746-TOK-0746</t>
  </si>
  <si>
    <t>TRX-2026-0747</t>
  </si>
  <si>
    <t>ACT-366-TIK-0747</t>
  </si>
  <si>
    <t>TRX-2026-0748</t>
  </si>
  <si>
    <t>ACT-890-SHO-0748</t>
  </si>
  <si>
    <t>TRX-2026-0749</t>
  </si>
  <si>
    <t>ACT-472-SHO-0749</t>
  </si>
  <si>
    <t>TRX-2026-0750</t>
  </si>
  <si>
    <t>ACT-243-SHO-0750</t>
  </si>
  <si>
    <t>TRX-2026-0751</t>
  </si>
  <si>
    <t>ACT-849-SHO-0751</t>
  </si>
  <si>
    <t>TRX-2026-0752</t>
  </si>
  <si>
    <t>ACT-164-TOK-0752</t>
  </si>
  <si>
    <t>TRX-2026-0753</t>
  </si>
  <si>
    <t>ACT-910-SHO-0753</t>
  </si>
  <si>
    <t>TRX-2026-0754</t>
  </si>
  <si>
    <t>ACT-140-BLI-0754</t>
  </si>
  <si>
    <t>TRX-2026-0755</t>
  </si>
  <si>
    <t>ACT-369-TOK-0755</t>
  </si>
  <si>
    <t>TRX-2026-0756</t>
  </si>
  <si>
    <t>ACT-701-BLI-0756</t>
  </si>
  <si>
    <t>TRX-2026-0757</t>
  </si>
  <si>
    <t>ACT-628-TIK-0757</t>
  </si>
  <si>
    <t>TRX-2026-0758</t>
  </si>
  <si>
    <t>ACT-106-LAZ-0758</t>
  </si>
  <si>
    <t>TRX-2026-0759</t>
  </si>
  <si>
    <t>ACT-626-BLI-0759</t>
  </si>
  <si>
    <t>TRX-2026-0760</t>
  </si>
  <si>
    <t>ACT-470-SHO-0760</t>
  </si>
  <si>
    <t>TRX-2026-0761</t>
  </si>
  <si>
    <t>ACT-216-SHO-0761</t>
  </si>
  <si>
    <t>TRX-2026-0762</t>
  </si>
  <si>
    <t>ACT-953-BLI-0762</t>
  </si>
  <si>
    <t>TRX-2026-0763</t>
  </si>
  <si>
    <t>ACT-706-SHO-0763</t>
  </si>
  <si>
    <t>TRX-2026-0764</t>
  </si>
  <si>
    <t>ACT-270-TIK-0764</t>
  </si>
  <si>
    <t>TRX-2026-0765</t>
  </si>
  <si>
    <t>ACT-845-TIK-0765</t>
  </si>
  <si>
    <t>TRX-2026-0766</t>
  </si>
  <si>
    <t>ACT-582-TOK-0766</t>
  </si>
  <si>
    <t>TRX-2026-0767</t>
  </si>
  <si>
    <t>ACT-246-SHO-0767</t>
  </si>
  <si>
    <t>TRX-2026-0768</t>
  </si>
  <si>
    <t>ACT-841-TIK-0768</t>
  </si>
  <si>
    <t>TRX-2026-0769</t>
  </si>
  <si>
    <t>ACT-487-BLI-0769</t>
  </si>
  <si>
    <t>TRX-2026-0770</t>
  </si>
  <si>
    <t>ACT-980-TOK-0770</t>
  </si>
  <si>
    <t>TRX-2026-0771</t>
  </si>
  <si>
    <t>ACT-587-SHO-0771</t>
  </si>
  <si>
    <t>TRX-2026-0772</t>
  </si>
  <si>
    <t>ACT-593-TIK-0772</t>
  </si>
  <si>
    <t>TRX-2026-0773</t>
  </si>
  <si>
    <t>ACT-764-TIK-0773</t>
  </si>
  <si>
    <t>TRX-2026-0774</t>
  </si>
  <si>
    <t>ACT-642-LAZ-0774</t>
  </si>
  <si>
    <t>TRX-2026-0775</t>
  </si>
  <si>
    <t>ACT-703-BLI-0775</t>
  </si>
  <si>
    <t>TRX-2026-0776</t>
  </si>
  <si>
    <t>ACT-884-BLI-0776</t>
  </si>
  <si>
    <t>TRX-2026-0777</t>
  </si>
  <si>
    <t>ACT-293-LAZ-0777</t>
  </si>
  <si>
    <t>TRX-2026-0778</t>
  </si>
  <si>
    <t>ACT-107-TIK-0778</t>
  </si>
  <si>
    <t>TRX-2026-0779</t>
  </si>
  <si>
    <t>ACT-258-LAZ-0779</t>
  </si>
  <si>
    <t>TRX-2026-0780</t>
  </si>
  <si>
    <t>ACT-474-LAZ-0780</t>
  </si>
  <si>
    <t>TRX-2026-0781</t>
  </si>
  <si>
    <t>ACT-665-BLI-0781</t>
  </si>
  <si>
    <t>TRX-2026-0782</t>
  </si>
  <si>
    <t>ACT-414-SHO-0782</t>
  </si>
  <si>
    <t>TRX-2026-0783</t>
  </si>
  <si>
    <t>ACT-221-BLI-0783</t>
  </si>
  <si>
    <t>TRX-2026-0784</t>
  </si>
  <si>
    <t>ACT-319-BLI-0784</t>
  </si>
  <si>
    <t>TRX-2026-0785</t>
  </si>
  <si>
    <t>ACT-498-LAZ-0785</t>
  </si>
  <si>
    <t>TRX-2026-0786</t>
  </si>
  <si>
    <t>ACT-714-TOK-0786</t>
  </si>
  <si>
    <t>TRX-2026-0787</t>
  </si>
  <si>
    <t>ACT-181-TOK-0787</t>
  </si>
  <si>
    <t>TRX-2026-0788</t>
  </si>
  <si>
    <t>ACT-771-BLI-0788</t>
  </si>
  <si>
    <t>TRX-2026-0789</t>
  </si>
  <si>
    <t>ACT-606-TIK-0789</t>
  </si>
  <si>
    <t>TRX-2026-0790</t>
  </si>
  <si>
    <t>ACT-134-SHO-0790</t>
  </si>
  <si>
    <t>TRX-2026-0791</t>
  </si>
  <si>
    <t>ACT-344-TIK-0791</t>
  </si>
  <si>
    <t>TRX-2026-0792</t>
  </si>
  <si>
    <t>ACT-461-SHO-0792</t>
  </si>
  <si>
    <t>TRX-2026-0793</t>
  </si>
  <si>
    <t>ACT-115-BLI-0793</t>
  </si>
  <si>
    <t>TRX-2026-0794</t>
  </si>
  <si>
    <t>ACT-949-TOK-0794</t>
  </si>
  <si>
    <t>TRX-2026-0795</t>
  </si>
  <si>
    <t>ACT-720-LAZ-0795</t>
  </si>
  <si>
    <t>TRX-2026-0796</t>
  </si>
  <si>
    <t>ACT-279-BLI-0796</t>
  </si>
  <si>
    <t>TRX-2026-0797</t>
  </si>
  <si>
    <t>ACT-219-TIK-0797</t>
  </si>
  <si>
    <t>TRX-2026-0798</t>
  </si>
  <si>
    <t>ACT-553-TIK-0798</t>
  </si>
  <si>
    <t>TRX-2026-0799</t>
  </si>
  <si>
    <t>ACT-797-SHO-0799</t>
  </si>
  <si>
    <t>TRX-2026-0800</t>
  </si>
  <si>
    <t>ACT-491-BLI-0800</t>
  </si>
  <si>
    <t>TRX-2026-0801</t>
  </si>
  <si>
    <t>ACT-461-SHO-0801</t>
  </si>
  <si>
    <t>TRX-2026-0802</t>
  </si>
  <si>
    <t>ACT-508-LAZ-0802</t>
  </si>
  <si>
    <t>TRX-2026-0803</t>
  </si>
  <si>
    <t>ACT-421-TOK-0803</t>
  </si>
  <si>
    <t>TRX-2026-0804</t>
  </si>
  <si>
    <t>ACT-799-TIK-0804</t>
  </si>
  <si>
    <t>TRX-2026-0805</t>
  </si>
  <si>
    <t>ACT-311-SHO-0805</t>
  </si>
  <si>
    <t>TRX-2026-0806</t>
  </si>
  <si>
    <t>ACT-897-SHO-0806</t>
  </si>
  <si>
    <t>TRX-2026-0807</t>
  </si>
  <si>
    <t>ACT-106-TOK-0807</t>
  </si>
  <si>
    <t>TRX-2026-0808</t>
  </si>
  <si>
    <t>ACT-688-BLI-0808</t>
  </si>
  <si>
    <t>TRX-2026-0809</t>
  </si>
  <si>
    <t>ACT-327-SHO-0809</t>
  </si>
  <si>
    <t>TRX-2026-0810</t>
  </si>
  <si>
    <t>ACT-653-TOK-0810</t>
  </si>
  <si>
    <t>TRX-2026-0811</t>
  </si>
  <si>
    <t>ACT-223-BLI-0811</t>
  </si>
  <si>
    <t>TRX-2026-0812</t>
  </si>
  <si>
    <t>ACT-790-LAZ-0812</t>
  </si>
  <si>
    <t>TRX-2026-0813</t>
  </si>
  <si>
    <t>ACT-727-TIK-0813</t>
  </si>
  <si>
    <t>TRX-2026-0814</t>
  </si>
  <si>
    <t>ACT-375-SHO-0814</t>
  </si>
  <si>
    <t>TRX-2026-0815</t>
  </si>
  <si>
    <t>ACT-315-LAZ-0815</t>
  </si>
  <si>
    <t>TRX-2026-0816</t>
  </si>
  <si>
    <t>ACT-561-LAZ-0816</t>
  </si>
  <si>
    <t>TRX-2026-0817</t>
  </si>
  <si>
    <t>ACT-838-TIK-0817</t>
  </si>
  <si>
    <t>TRX-2026-0818</t>
  </si>
  <si>
    <t>ACT-249-TIK-0818</t>
  </si>
  <si>
    <t>TRX-2026-0819</t>
  </si>
  <si>
    <t>ACT-531-BLI-0819</t>
  </si>
  <si>
    <t>TRX-2026-0820</t>
  </si>
  <si>
    <t>ACT-407-TIK-0820</t>
  </si>
  <si>
    <t>TRX-2026-0821</t>
  </si>
  <si>
    <t>ACT-320-BLI-0821</t>
  </si>
  <si>
    <t>TRX-2026-0822</t>
  </si>
  <si>
    <t>ACT-862-BLI-0822</t>
  </si>
  <si>
    <t>TRX-2026-0823</t>
  </si>
  <si>
    <t>ACT-120-LAZ-0823</t>
  </si>
  <si>
    <t>TRX-2026-0824</t>
  </si>
  <si>
    <t>ACT-689-LAZ-0824</t>
  </si>
  <si>
    <t>TRX-2026-0825</t>
  </si>
  <si>
    <t>ACT-622-LAZ-0825</t>
  </si>
  <si>
    <t>TRX-2026-0826</t>
  </si>
  <si>
    <t>ACT-746-TOK-0826</t>
  </si>
  <si>
    <t>TRX-2026-0827</t>
  </si>
  <si>
    <t>ACT-181-LAZ-0827</t>
  </si>
  <si>
    <t>TRX-2026-0828</t>
  </si>
  <si>
    <t>ACT-398-SHO-0828</t>
  </si>
  <si>
    <t>TRX-2026-0829</t>
  </si>
  <si>
    <t>ACT-555-TIK-0829</t>
  </si>
  <si>
    <t>TRX-2026-0830</t>
  </si>
  <si>
    <t>ACT-271-TIK-0830</t>
  </si>
  <si>
    <t>TRX-2026-0831</t>
  </si>
  <si>
    <t>ACT-357-SHO-0831</t>
  </si>
  <si>
    <t>TRX-2026-0832</t>
  </si>
  <si>
    <t>ACT-197-SHO-0832</t>
  </si>
  <si>
    <t>TRX-2026-0833</t>
  </si>
  <si>
    <t>ACT-636-TIK-0833</t>
  </si>
  <si>
    <t>TRX-2026-0834</t>
  </si>
  <si>
    <t>ACT-770-TOK-0834</t>
  </si>
  <si>
    <t>TRX-2026-0835</t>
  </si>
  <si>
    <t>ACT-741-SHO-0835</t>
  </si>
  <si>
    <t>TRX-2026-0836</t>
  </si>
  <si>
    <t>ACT-135-TIK-0836</t>
  </si>
  <si>
    <t>TRX-2026-0837</t>
  </si>
  <si>
    <t>ACT-991-LAZ-0837</t>
  </si>
  <si>
    <t>TRX-2026-0838</t>
  </si>
  <si>
    <t>ACT-652-TIK-0838</t>
  </si>
  <si>
    <t>TRX-2026-0839</t>
  </si>
  <si>
    <t>ACT-593-TIK-0839</t>
  </si>
  <si>
    <t>TRX-2026-0840</t>
  </si>
  <si>
    <t>ACT-522-TOK-0840</t>
  </si>
  <si>
    <t>TRX-2026-0841</t>
  </si>
  <si>
    <t>ACT-934-LAZ-0841</t>
  </si>
  <si>
    <t>TRX-2026-0842</t>
  </si>
  <si>
    <t>ACT-108-LAZ-0842</t>
  </si>
  <si>
    <t>TRX-2026-0843</t>
  </si>
  <si>
    <t>ACT-917-BLI-0843</t>
  </si>
  <si>
    <t>TRX-2026-0844</t>
  </si>
  <si>
    <t>ACT-521-TOK-0844</t>
  </si>
  <si>
    <t>TRX-2026-0845</t>
  </si>
  <si>
    <t>ACT-854-BLI-0845</t>
  </si>
  <si>
    <t>TRX-2026-0846</t>
  </si>
  <si>
    <t>ACT-532-BLI-0846</t>
  </si>
  <si>
    <t>TRX-2026-0847</t>
  </si>
  <si>
    <t>ACT-764-TIK-0847</t>
  </si>
  <si>
    <t>TRX-2026-0848</t>
  </si>
  <si>
    <t>ACT-239-BLI-0848</t>
  </si>
  <si>
    <t>TRX-2026-0849</t>
  </si>
  <si>
    <t>ACT-817-BLI-0849</t>
  </si>
  <si>
    <t>TRX-2026-0850</t>
  </si>
  <si>
    <t>ACT-150-SHO-0850</t>
  </si>
  <si>
    <t>TRX-2026-0851</t>
  </si>
  <si>
    <t>ACT-228-SHO-0851</t>
  </si>
  <si>
    <t>TRX-2026-0852</t>
  </si>
  <si>
    <t>ACT-115-TOK-0852</t>
  </si>
  <si>
    <t>TRX-2026-0853</t>
  </si>
  <si>
    <t>ACT-480-LAZ-0853</t>
  </si>
  <si>
    <t>TRX-2026-0854</t>
  </si>
  <si>
    <t>ACT-372-LAZ-0854</t>
  </si>
  <si>
    <t>TRX-2026-0855</t>
  </si>
  <si>
    <t>ACT-296-TOK-0855</t>
  </si>
  <si>
    <t>TRX-2026-0856</t>
  </si>
  <si>
    <t>ACT-886-BLI-0856</t>
  </si>
  <si>
    <t>TRX-2026-0857</t>
  </si>
  <si>
    <t>ACT-855-BLI-0857</t>
  </si>
  <si>
    <t>TRX-2026-0858</t>
  </si>
  <si>
    <t>ACT-781-BLI-0858</t>
  </si>
  <si>
    <t>TRX-2026-0859</t>
  </si>
  <si>
    <t>ACT-262-BLI-0859</t>
  </si>
  <si>
    <t>TRX-2026-0860</t>
  </si>
  <si>
    <t>ACT-592-TIK-0860</t>
  </si>
  <si>
    <t>TRX-2026-0861</t>
  </si>
  <si>
    <t>ACT-323-SHO-0861</t>
  </si>
  <si>
    <t>TRX-2026-0862</t>
  </si>
  <si>
    <t>ACT-913-BLI-0862</t>
  </si>
  <si>
    <t>TRX-2026-0863</t>
  </si>
  <si>
    <t>ACT-143-BLI-0863</t>
  </si>
  <si>
    <t>TRX-2026-0864</t>
  </si>
  <si>
    <t>ACT-354-TIK-0864</t>
  </si>
  <si>
    <t>TRX-2026-0865</t>
  </si>
  <si>
    <t>ACT-161-TOK-0865</t>
  </si>
  <si>
    <t>TRX-2026-0866</t>
  </si>
  <si>
    <t>ACT-599-SHO-0866</t>
  </si>
  <si>
    <t>TRX-2026-0867</t>
  </si>
  <si>
    <t>ACT-850-TIK-0867</t>
  </si>
  <si>
    <t>TRX-2026-0868</t>
  </si>
  <si>
    <t>ACT-140-BLI-0868</t>
  </si>
  <si>
    <t>TRX-2026-0869</t>
  </si>
  <si>
    <t>ACT-680-TIK-0869</t>
  </si>
  <si>
    <t>TRX-2026-0870</t>
  </si>
  <si>
    <t>ACT-988-LAZ-0870</t>
  </si>
  <si>
    <t>TRX-2026-0871</t>
  </si>
  <si>
    <t>ACT-402-TOK-0871</t>
  </si>
  <si>
    <t>TRX-2026-0872</t>
  </si>
  <si>
    <t>ACT-894-TIK-0872</t>
  </si>
  <si>
    <t>TRX-2026-0873</t>
  </si>
  <si>
    <t>ACT-977-SHO-0873</t>
  </si>
  <si>
    <t>TRX-2026-0874</t>
  </si>
  <si>
    <t>ACT-651-LAZ-0874</t>
  </si>
  <si>
    <t>TRX-2026-0875</t>
  </si>
  <si>
    <t>ACT-257-SHO-0875</t>
  </si>
  <si>
    <t>TRX-2026-0876</t>
  </si>
  <si>
    <t>ACT-198-LAZ-0876</t>
  </si>
  <si>
    <t>TRX-2026-0877</t>
  </si>
  <si>
    <t>ACT-994-TOK-0877</t>
  </si>
  <si>
    <t>TRX-2026-0878</t>
  </si>
  <si>
    <t>ACT-132-TOK-0878</t>
  </si>
  <si>
    <t>TRX-2026-0879</t>
  </si>
  <si>
    <t>ACT-475-BLI-0879</t>
  </si>
  <si>
    <t>TRX-2026-0880</t>
  </si>
  <si>
    <t>ACT-603-TOK-0880</t>
  </si>
  <si>
    <t>TRX-2026-0881</t>
  </si>
  <si>
    <t>ACT-671-BLI-0881</t>
  </si>
  <si>
    <t>TRX-2026-0882</t>
  </si>
  <si>
    <t>ACT-372-LAZ-0882</t>
  </si>
  <si>
    <t>TRX-2026-0883</t>
  </si>
  <si>
    <t>ACT-321-TOK-0883</t>
  </si>
  <si>
    <t>TRX-2026-0884</t>
  </si>
  <si>
    <t>ACT-494-TOK-0884</t>
  </si>
  <si>
    <t>TRX-2026-0885</t>
  </si>
  <si>
    <t>ACT-740-TIK-0885</t>
  </si>
  <si>
    <t>TRX-2026-0886</t>
  </si>
  <si>
    <t>ACT-569-TOK-0886</t>
  </si>
  <si>
    <t>TRX-2026-0887</t>
  </si>
  <si>
    <t>ACT-511-TOK-0887</t>
  </si>
  <si>
    <t>TRX-2026-0888</t>
  </si>
  <si>
    <t>ACT-422-SHO-0888</t>
  </si>
  <si>
    <t>TRX-2026-0889</t>
  </si>
  <si>
    <t>ACT-431-LAZ-0889</t>
  </si>
  <si>
    <t>TRX-2026-0890</t>
  </si>
  <si>
    <t>ACT-884-TIK-0890</t>
  </si>
  <si>
    <t>TRX-2026-0891</t>
  </si>
  <si>
    <t>ACT-100-LAZ-0891</t>
  </si>
  <si>
    <t>TRX-2026-0892</t>
  </si>
  <si>
    <t>ACT-238-LAZ-0892</t>
  </si>
  <si>
    <t>TRX-2026-0893</t>
  </si>
  <si>
    <t>ACT-122-LAZ-0893</t>
  </si>
  <si>
    <t>TRX-2026-0894</t>
  </si>
  <si>
    <t>ACT-138-TIK-0894</t>
  </si>
  <si>
    <t>TRX-2026-0895</t>
  </si>
  <si>
    <t>ACT-696-SHO-0895</t>
  </si>
  <si>
    <t>TRX-2026-0896</t>
  </si>
  <si>
    <t>ACT-684-LAZ-0896</t>
  </si>
  <si>
    <t>TRX-2026-0897</t>
  </si>
  <si>
    <t>ACT-277-TOK-0897</t>
  </si>
  <si>
    <t>TRX-2026-0898</t>
  </si>
  <si>
    <t>ACT-848-TIK-0898</t>
  </si>
  <si>
    <t>TRX-2026-0899</t>
  </si>
  <si>
    <t>ACT-456-TOK-0899</t>
  </si>
  <si>
    <t>TRX-2026-0900</t>
  </si>
  <si>
    <t>ACT-865-BLI-0900</t>
  </si>
  <si>
    <t>TRX-2026-0901</t>
  </si>
  <si>
    <t>ACT-142-BLI-0901</t>
  </si>
  <si>
    <t>TRX-2026-0902</t>
  </si>
  <si>
    <t>ACT-151-LAZ-0902</t>
  </si>
  <si>
    <t>TRX-2026-0903</t>
  </si>
  <si>
    <t>ACT-542-BLI-0903</t>
  </si>
  <si>
    <t>TRX-2026-0904</t>
  </si>
  <si>
    <t>ACT-587-SHO-0904</t>
  </si>
  <si>
    <t>TRX-2026-0905</t>
  </si>
  <si>
    <t>ACT-508-TIK-0905</t>
  </si>
  <si>
    <t>TRX-2026-0906</t>
  </si>
  <si>
    <t>ACT-672-SHO-0906</t>
  </si>
  <si>
    <t>TRX-2026-0907</t>
  </si>
  <si>
    <t>ACT-730-BLI-0907</t>
  </si>
  <si>
    <t>TRX-2026-0908</t>
  </si>
  <si>
    <t>ACT-431-SHO-0908</t>
  </si>
  <si>
    <t>TRX-2026-0909</t>
  </si>
  <si>
    <t>ACT-474-TOK-0909</t>
  </si>
  <si>
    <t>TRX-2026-0910</t>
  </si>
  <si>
    <t>ACT-273-LAZ-0910</t>
  </si>
  <si>
    <t>TRX-2026-0911</t>
  </si>
  <si>
    <t>ACT-937-TIK-0911</t>
  </si>
  <si>
    <t>TRX-2026-0912</t>
  </si>
  <si>
    <t>ACT-857-LAZ-0912</t>
  </si>
  <si>
    <t>TRX-2026-0913</t>
  </si>
  <si>
    <t>ACT-114-TIK-0913</t>
  </si>
  <si>
    <t>TRX-2026-0914</t>
  </si>
  <si>
    <t>ACT-439-LAZ-0914</t>
  </si>
  <si>
    <t>TRX-2026-0915</t>
  </si>
  <si>
    <t>ACT-594-SHO-0915</t>
  </si>
  <si>
    <t>TRX-2026-0916</t>
  </si>
  <si>
    <t>ACT-274-TOK-0916</t>
  </si>
  <si>
    <t>TRX-2026-0917</t>
  </si>
  <si>
    <t>ACT-576-SHO-0917</t>
  </si>
  <si>
    <t>TRX-2026-0918</t>
  </si>
  <si>
    <t>ACT-972-TOK-0918</t>
  </si>
  <si>
    <t>TRX-2026-0919</t>
  </si>
  <si>
    <t>ACT-495-TOK-0919</t>
  </si>
  <si>
    <t>TRX-2026-0920</t>
  </si>
  <si>
    <t>ACT-596-TIK-0920</t>
  </si>
  <si>
    <t>TRX-2026-0921</t>
  </si>
  <si>
    <t>ACT-829-SHO-0921</t>
  </si>
  <si>
    <t>TRX-2026-0922</t>
  </si>
  <si>
    <t>ACT-601-SHO-0922</t>
  </si>
  <si>
    <t>TRX-2026-0923</t>
  </si>
  <si>
    <t>ACT-740-TOK-0923</t>
  </si>
  <si>
    <t>TRX-2026-0924</t>
  </si>
  <si>
    <t>ACT-363-TIK-0924</t>
  </si>
  <si>
    <t>TRX-2026-0925</t>
  </si>
  <si>
    <t>ACT-449-TIK-0925</t>
  </si>
  <si>
    <t>TRX-2026-0926</t>
  </si>
  <si>
    <t>ACT-794-TOK-0926</t>
  </si>
  <si>
    <t>TRX-2026-0927</t>
  </si>
  <si>
    <t>ACT-419-BLI-0927</t>
  </si>
  <si>
    <t>TRX-2026-0928</t>
  </si>
  <si>
    <t>ACT-768-BLI-0928</t>
  </si>
  <si>
    <t>TRX-2026-0929</t>
  </si>
  <si>
    <t>ACT-888-SHO-0929</t>
  </si>
  <si>
    <t>TRX-2026-0930</t>
  </si>
  <si>
    <t>ACT-425-LAZ-0930</t>
  </si>
  <si>
    <t>TRX-2026-0931</t>
  </si>
  <si>
    <t>ACT-521-TOK-0931</t>
  </si>
  <si>
    <t>TRX-2026-0932</t>
  </si>
  <si>
    <t>ACT-234-LAZ-0932</t>
  </si>
  <si>
    <t>TRX-2026-0933</t>
  </si>
  <si>
    <t>ACT-680-TIK-0933</t>
  </si>
  <si>
    <t>TRX-2026-0934</t>
  </si>
  <si>
    <t>ACT-126-TIK-0934</t>
  </si>
  <si>
    <t>TRX-2026-0935</t>
  </si>
  <si>
    <t>ACT-765-BLI-0935</t>
  </si>
  <si>
    <t>TRX-2026-0936</t>
  </si>
  <si>
    <t>ACT-267-BLI-0936</t>
  </si>
  <si>
    <t>TRX-2026-0937</t>
  </si>
  <si>
    <t>ACT-522-TOK-0937</t>
  </si>
  <si>
    <t>TRX-2026-0938</t>
  </si>
  <si>
    <t>ACT-987-SHO-0938</t>
  </si>
  <si>
    <t>TRX-2026-0939</t>
  </si>
  <si>
    <t>ACT-537-LAZ-0939</t>
  </si>
  <si>
    <t>TRX-2026-0940</t>
  </si>
  <si>
    <t>ACT-420-TIK-0940</t>
  </si>
  <si>
    <t>TRX-2026-0941</t>
  </si>
  <si>
    <t>ACT-946-TIK-0941</t>
  </si>
  <si>
    <t>TRX-2026-0942</t>
  </si>
  <si>
    <t>ACT-140-TIK-0942</t>
  </si>
  <si>
    <t>TRX-2026-0943</t>
  </si>
  <si>
    <t>ACT-398-TIK-0943</t>
  </si>
  <si>
    <t>TRX-2026-0944</t>
  </si>
  <si>
    <t>ACT-270-LAZ-0944</t>
  </si>
  <si>
    <t>TRX-2026-0945</t>
  </si>
  <si>
    <t>ACT-629-TIK-0945</t>
  </si>
  <si>
    <t>TRX-2026-0946</t>
  </si>
  <si>
    <t>ACT-897-BLI-0946</t>
  </si>
  <si>
    <t>TRX-2026-0947</t>
  </si>
  <si>
    <t>ACT-125-BLI-0947</t>
  </si>
  <si>
    <t>TRX-2026-0948</t>
  </si>
  <si>
    <t>ACT-192-TIK-0948</t>
  </si>
  <si>
    <t>TRX-2026-0949</t>
  </si>
  <si>
    <t>ACT-216-SHO-0949</t>
  </si>
  <si>
    <t>TRX-2026-0950</t>
  </si>
  <si>
    <t>ACT-910-LAZ-0950</t>
  </si>
  <si>
    <t>TRX-2026-0951</t>
  </si>
  <si>
    <t>ACT-886-BLI-0951</t>
  </si>
  <si>
    <t>TRX-2026-0952</t>
  </si>
  <si>
    <t>ACT-989-TIK-0952</t>
  </si>
  <si>
    <t>TRX-2026-0953</t>
  </si>
  <si>
    <t>ACT-847-TOK-0953</t>
  </si>
  <si>
    <t>TRX-2026-0954</t>
  </si>
  <si>
    <t>ACT-234-LAZ-0954</t>
  </si>
  <si>
    <t>TRX-2026-0955</t>
  </si>
  <si>
    <t>ACT-569-TIK-0955</t>
  </si>
  <si>
    <t>TRX-2026-0956</t>
  </si>
  <si>
    <t>ACT-605-TIK-0956</t>
  </si>
  <si>
    <t>TRX-2026-0957</t>
  </si>
  <si>
    <t>ACT-519-TIK-0957</t>
  </si>
  <si>
    <t>TRX-2026-0958</t>
  </si>
  <si>
    <t>ACT-660-TIK-0958</t>
  </si>
  <si>
    <t>TRX-2026-0959</t>
  </si>
  <si>
    <t>ACT-768-TOK-0959</t>
  </si>
  <si>
    <t>TRX-2026-0960</t>
  </si>
  <si>
    <t>ACT-691-SHO-0960</t>
  </si>
  <si>
    <t>TRX-2026-0961</t>
  </si>
  <si>
    <t>ACT-211-LAZ-0961</t>
  </si>
  <si>
    <t>TRX-2026-0962</t>
  </si>
  <si>
    <t>ACT-776-SHO-0962</t>
  </si>
  <si>
    <t>TRX-2026-0963</t>
  </si>
  <si>
    <t>ACT-195-BLI-0963</t>
  </si>
  <si>
    <t>TRX-2026-0964</t>
  </si>
  <si>
    <t>ACT-876-LAZ-0964</t>
  </si>
  <si>
    <t>TRX-2026-0965</t>
  </si>
  <si>
    <t>ACT-811-LAZ-0965</t>
  </si>
  <si>
    <t>TRX-2026-0966</t>
  </si>
  <si>
    <t>ACT-314-LAZ-0966</t>
  </si>
  <si>
    <t>TRX-2026-0967</t>
  </si>
  <si>
    <t>ACT-847-TIK-0967</t>
  </si>
  <si>
    <t>TRX-2026-0968</t>
  </si>
  <si>
    <t>ACT-723-BLI-0968</t>
  </si>
  <si>
    <t>TRX-2026-0969</t>
  </si>
  <si>
    <t>ACT-729-LAZ-0969</t>
  </si>
  <si>
    <t>TRX-2026-0970</t>
  </si>
  <si>
    <t>ACT-927-TIK-0970</t>
  </si>
  <si>
    <t>TRX-2026-0971</t>
  </si>
  <si>
    <t>ACT-124-LAZ-0971</t>
  </si>
  <si>
    <t>TRX-2026-0972</t>
  </si>
  <si>
    <t>ACT-146-SHO-0972</t>
  </si>
  <si>
    <t>TRX-2026-0973</t>
  </si>
  <si>
    <t>ACT-755-TIK-0973</t>
  </si>
  <si>
    <t>TRX-2026-0974</t>
  </si>
  <si>
    <t>ACT-407-LAZ-0974</t>
  </si>
  <si>
    <t>TRX-2026-0975</t>
  </si>
  <si>
    <t>ACT-505-TOK-0975</t>
  </si>
  <si>
    <t>TRX-2026-0976</t>
  </si>
  <si>
    <t>ACT-788-SHO-0976</t>
  </si>
  <si>
    <t>TRX-2026-0977</t>
  </si>
  <si>
    <t>ACT-259-TOK-0977</t>
  </si>
  <si>
    <t>TRX-2026-0978</t>
  </si>
  <si>
    <t>ACT-902-TIK-0978</t>
  </si>
  <si>
    <t>TRX-2026-0979</t>
  </si>
  <si>
    <t>ACT-842-TOK-0979</t>
  </si>
  <si>
    <t>TRX-2026-0980</t>
  </si>
  <si>
    <t>ACT-691-TIK-0980</t>
  </si>
  <si>
    <t>TRX-2026-0981</t>
  </si>
  <si>
    <t>ACT-960-LAZ-0981</t>
  </si>
  <si>
    <t>TRX-2026-0982</t>
  </si>
  <si>
    <t>ACT-720-BLI-0982</t>
  </si>
  <si>
    <t>TRX-2026-0983</t>
  </si>
  <si>
    <t>ACT-978-TIK-0983</t>
  </si>
  <si>
    <t>TRX-2026-0984</t>
  </si>
  <si>
    <t>ACT-998-LAZ-0984</t>
  </si>
  <si>
    <t>TRX-2026-0985</t>
  </si>
  <si>
    <t>ACT-637-BLI-0985</t>
  </si>
  <si>
    <t>TRX-2026-0986</t>
  </si>
  <si>
    <t>ACT-194-TOK-0986</t>
  </si>
  <si>
    <t>TRX-2026-0987</t>
  </si>
  <si>
    <t>ACT-448-BLI-0987</t>
  </si>
  <si>
    <t>TRX-2026-0988</t>
  </si>
  <si>
    <t>ACT-792-LAZ-0988</t>
  </si>
  <si>
    <t>TRX-2026-0989</t>
  </si>
  <si>
    <t>ACT-985-TOK-0989</t>
  </si>
  <si>
    <t>TRX-2026-0990</t>
  </si>
  <si>
    <t>ACT-968-TOK-0990</t>
  </si>
  <si>
    <t>TRX-2026-0991</t>
  </si>
  <si>
    <t>ACT-633-LAZ-0991</t>
  </si>
  <si>
    <t>TRX-2026-0992</t>
  </si>
  <si>
    <t>ACT-314-TOK-0992</t>
  </si>
  <si>
    <t>TRX-2026-0993</t>
  </si>
  <si>
    <t>ACT-426-SHO-0993</t>
  </si>
  <si>
    <t>TRX-2026-0994</t>
  </si>
  <si>
    <t>ACT-380-TOK-0994</t>
  </si>
  <si>
    <t>TRX-2026-0995</t>
  </si>
  <si>
    <t>ACT-655-TIK-0995</t>
  </si>
  <si>
    <t>TRX-2026-0996</t>
  </si>
  <si>
    <t>ACT-350-LAZ-0996</t>
  </si>
  <si>
    <t>TRX-2026-0997</t>
  </si>
  <si>
    <t>ACT-554-LAZ-0997</t>
  </si>
  <si>
    <t>TRX-2026-0998</t>
  </si>
  <si>
    <t>ACT-492-TOK-0998</t>
  </si>
  <si>
    <t>TRX-2026-0999</t>
  </si>
  <si>
    <t>ACT-710-BLI-0999</t>
  </si>
  <si>
    <t>TRX-2026-1000</t>
  </si>
  <si>
    <t>ACT-937-TIK-1000</t>
  </si>
  <si>
    <t>VLOOKUP</t>
  </si>
  <si>
    <t>XLOOKUP</t>
  </si>
  <si>
    <t>HLOOKUP</t>
  </si>
  <si>
    <t>COUNTA</t>
  </si>
  <si>
    <t>COUNT</t>
  </si>
  <si>
    <t>COUNTIF</t>
  </si>
  <si>
    <t>SUMIF</t>
  </si>
  <si>
    <t>AVERAGEIF</t>
  </si>
  <si>
    <t>LEFT</t>
  </si>
  <si>
    <t>RIGHT</t>
  </si>
  <si>
    <t>IF BERTINGKAT</t>
  </si>
  <si>
    <t>setelah diskon</t>
  </si>
  <si>
    <t xml:space="preserve">sebelum diskon </t>
  </si>
  <si>
    <t>if diskon</t>
  </si>
  <si>
    <t>Row Labels</t>
  </si>
  <si>
    <t>Grand Total</t>
  </si>
  <si>
    <t>Sum of Total_Penjualan</t>
  </si>
  <si>
    <t>Column Labels</t>
  </si>
  <si>
    <t>Count of ID_Produk</t>
  </si>
  <si>
    <t>Bulan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</si>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</sst>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 x14ac:knownFonts="1">
    <font>
      <sz val="11"/>
      <color theme="1"/>
      <name val="Calibri"/>
      <family val="2"/>
      <scheme val="minor"/>
    </font>
    <font>
      <b/>
      <sz val="11"/>
      <color rgb="FFFFFFFF"/>
      <name val="Calibri"/>
    </font>
    <font>
      <sz val="11"/>
      <color theme="1"/>
      <name val="Calibri"/>
      <family val="2"/>
      <scheme val="minor"/>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11">
    <xf numFmtId="0" fontId="0" fillId="0" borderId="0" xfId="0"/>
    <xf numFmtId="0" fontId="1" fillId="2" borderId="0" xfId="0" applyFont="1" applyFill="1" applyAlignment="1">
      <alignment horizontal="center" vertical="center"/>
    </xf>
    <xf numFmtId="3" fontId="0" fillId="0" borderId="0" xfId="0" applyNumberFormat="1"/>
    <xf numFmtId="9" fontId="0" fillId="0" borderId="0" xfId="0" applyNumberFormat="1"/>
    <xf numFmtId="164" fontId="0" fillId="0" borderId="0" xfId="1" applyNumberFormat="1" applyFont="1" applyAlignment="1">
      <alignment horizontal="left" indent="1"/>
    </xf>
    <xf numFmtId="164" fontId="0" fillId="0" borderId="0" xfId="1" applyNumberFormat="1" applyFont="1"/>
    <xf numFmtId="0" fontId="0" fillId="0" borderId="0" xfId="0" pivotButton="1"/>
    <xf numFmtId="0" fontId="0" fillId="0" borderId="0" xfId="0" applyAlignment="1">
      <alignment horizontal="left"/>
    </xf>
    <xf numFmtId="0" fontId="0" fillId="0" borderId="0" xfId="0" applyBorder="1"/>
    <xf numFmtId="14" fontId="1" fillId="2" borderId="0" xfId="0" applyNumberFormat="1" applyFont="1" applyFill="1" applyAlignment="1">
      <alignment horizontal="center" vertical="center"/>
    </xf>
    <xf numFmtId="14" fontId="0" fillId="0" borderId="0" xfId="0" applyNumberFormat="1"/>
  </cellXfs>
  <cellStyles count="2">
    <cellStyle name="Comma" xfId="1" builtinId="3"/>
    <cellStyle name="Normal" xfId="0" builtinId="0"/>
  </cellStyles>
  <dxfs count="6">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[SIRCLO_Sales_Database_2026.xlsx]report!PivotTable1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Penjualan per Produk &amp; Kanal.</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report!$B$1:$B$2</c:f>
              <c:strCache>
                <c:ptCount val="1"/>
                <c:pt idx="0">
                  <c:v>Blibli</c:v>
                </c:pt>
              </c:strCache>
            </c:strRef>
          </c:tx>
          <c:spPr>
            <a:solidFill>
              <a:schemeClr val="accent1"/>
            </a:solidFill>
            <a:ln>
              <a:noFill/>
            </a:ln>
            <a:effectLst/>
          </c:spPr>
          <c:invertIfNegative val="0"/>
          <c:cat>
            <c:strRef>
              <c:f>report!$A$3:$A$11</c:f>
              <c:strCache>
                <c:ptCount val="8"/>
                <c:pt idx="0">
                  <c:v>Chat Commerce Integration</c:v>
                </c:pt>
                <c:pt idx="1">
                  <c:v>Custom Dashboard Analytics</c:v>
                </c:pt>
                <c:pt idx="2">
                  <c:v>ICOMERCE Fulfillment Fee</c:v>
                </c:pt>
                <c:pt idx="3">
                  <c:v>SIRCLO Commerce Enterprise</c:v>
                </c:pt>
                <c:pt idx="4">
                  <c:v>SIRCLO Store Basic</c:v>
                </c:pt>
                <c:pt idx="5">
                  <c:v>SIRCLO Store Pro</c:v>
                </c:pt>
                <c:pt idx="6">
                  <c:v>Swift Omnichannel Basic</c:v>
                </c:pt>
                <c:pt idx="7">
                  <c:v>Swift Omnichannel Premium</c:v>
                </c:pt>
              </c:strCache>
            </c:strRef>
          </c:cat>
          <c:val>
            <c:numRef>
              <c:f>report!$B$3:$B$11</c:f>
              <c:numCache>
                <c:formatCode>#,##0</c:formatCode>
                <c:ptCount val="8"/>
                <c:pt idx="0">
                  <c:v>440000000</c:v>
                </c:pt>
                <c:pt idx="1">
                  <c:v>472000000</c:v>
                </c:pt>
                <c:pt idx="2">
                  <c:v>172500000</c:v>
                </c:pt>
                <c:pt idx="3">
                  <c:v>2832000000</c:v>
                </c:pt>
                <c:pt idx="4">
                  <c:v>249000000</c:v>
                </c:pt>
                <c:pt idx="5">
                  <c:v>798000000</c:v>
                </c:pt>
                <c:pt idx="6">
                  <c:v>585000000</c:v>
                </c:pt>
                <c:pt idx="7">
                  <c:v>863500000</c:v>
                </c:pt>
              </c:numCache>
            </c:numRef>
          </c:val>
          <c:extLst>
            <c:ext xmlns:c16="http://schemas.microsoft.com/office/drawing/2014/chart" uri="{C3380CC4-5D6E-409C-BE32-E72D297353CC}">
              <c16:uniqueId val="{00000000-4DCD-4475-9C1A-03318EB0E667}"/>
            </c:ext>
          </c:extLst>
        </c:ser>
        <c:ser>
          <c:idx val="1"/>
          <c:order val="1"/>
          <c:tx>
            <c:strRef>
              <c:f>report!$C$1:$C$2</c:f>
              <c:strCache>
                <c:ptCount val="1"/>
                <c:pt idx="0">
                  <c:v>Lazada</c:v>
                </c:pt>
              </c:strCache>
            </c:strRef>
          </c:tx>
          <c:spPr>
            <a:solidFill>
              <a:schemeClr val="accent2"/>
            </a:solidFill>
            <a:ln>
              <a:noFill/>
            </a:ln>
            <a:effectLst/>
          </c:spPr>
          <c:invertIfNegative val="0"/>
          <c:cat>
            <c:strRef>
              <c:f>report!$A$3:$A$11</c:f>
              <c:strCache>
                <c:ptCount val="8"/>
                <c:pt idx="0">
                  <c:v>Chat Commerce Integration</c:v>
                </c:pt>
                <c:pt idx="1">
                  <c:v>Custom Dashboard Analytics</c:v>
                </c:pt>
                <c:pt idx="2">
                  <c:v>ICOMERCE Fulfillment Fee</c:v>
                </c:pt>
                <c:pt idx="3">
                  <c:v>SIRCLO Commerce Enterprise</c:v>
                </c:pt>
                <c:pt idx="4">
                  <c:v>SIRCLO Store Basic</c:v>
                </c:pt>
                <c:pt idx="5">
                  <c:v>SIRCLO Store Pro</c:v>
                </c:pt>
                <c:pt idx="6">
                  <c:v>Swift Omnichannel Basic</c:v>
                </c:pt>
                <c:pt idx="7">
                  <c:v>Swift Omnichannel Premium</c:v>
                </c:pt>
              </c:strCache>
            </c:strRef>
          </c:cat>
          <c:val>
            <c:numRef>
              <c:f>report!$C$3:$C$11</c:f>
              <c:numCache>
                <c:formatCode>#,##0</c:formatCode>
                <c:ptCount val="8"/>
                <c:pt idx="0">
                  <c:v>316000000</c:v>
                </c:pt>
                <c:pt idx="1">
                  <c:v>960000000</c:v>
                </c:pt>
                <c:pt idx="2">
                  <c:v>181500000</c:v>
                </c:pt>
                <c:pt idx="3">
                  <c:v>1920000000</c:v>
                </c:pt>
                <c:pt idx="4">
                  <c:v>231000000</c:v>
                </c:pt>
                <c:pt idx="5">
                  <c:v>742000000</c:v>
                </c:pt>
                <c:pt idx="6">
                  <c:v>632500000</c:v>
                </c:pt>
                <c:pt idx="7">
                  <c:v>1490500000</c:v>
                </c:pt>
              </c:numCache>
            </c:numRef>
          </c:val>
          <c:extLst>
            <c:ext xmlns:c16="http://schemas.microsoft.com/office/drawing/2014/chart" uri="{C3380CC4-5D6E-409C-BE32-E72D297353CC}">
              <c16:uniqueId val="{00000001-4DCD-4475-9C1A-03318EB0E667}"/>
            </c:ext>
          </c:extLst>
        </c:ser>
        <c:ser>
          <c:idx val="2"/>
          <c:order val="2"/>
          <c:tx>
            <c:strRef>
              <c:f>report!$D$1:$D$2</c:f>
              <c:strCache>
                <c:ptCount val="1"/>
                <c:pt idx="0">
                  <c:v>Shopee</c:v>
                </c:pt>
              </c:strCache>
            </c:strRef>
          </c:tx>
          <c:spPr>
            <a:solidFill>
              <a:schemeClr val="accent3"/>
            </a:solidFill>
            <a:ln>
              <a:noFill/>
            </a:ln>
            <a:effectLst/>
          </c:spPr>
          <c:invertIfNegative val="0"/>
          <c:cat>
            <c:strRef>
              <c:f>report!$A$3:$A$11</c:f>
              <c:strCache>
                <c:ptCount val="8"/>
                <c:pt idx="0">
                  <c:v>Chat Commerce Integration</c:v>
                </c:pt>
                <c:pt idx="1">
                  <c:v>Custom Dashboard Analytics</c:v>
                </c:pt>
                <c:pt idx="2">
                  <c:v>ICOMERCE Fulfillment Fee</c:v>
                </c:pt>
                <c:pt idx="3">
                  <c:v>SIRCLO Commerce Enterprise</c:v>
                </c:pt>
                <c:pt idx="4">
                  <c:v>SIRCLO Store Basic</c:v>
                </c:pt>
                <c:pt idx="5">
                  <c:v>SIRCLO Store Pro</c:v>
                </c:pt>
                <c:pt idx="6">
                  <c:v>Swift Omnichannel Basic</c:v>
                </c:pt>
                <c:pt idx="7">
                  <c:v>Swift Omnichannel Premium</c:v>
                </c:pt>
              </c:strCache>
            </c:strRef>
          </c:cat>
          <c:val>
            <c:numRef>
              <c:f>report!$D$3:$D$11</c:f>
              <c:numCache>
                <c:formatCode>#,##0</c:formatCode>
                <c:ptCount val="8"/>
                <c:pt idx="0">
                  <c:v>420000000</c:v>
                </c:pt>
                <c:pt idx="1">
                  <c:v>888000000</c:v>
                </c:pt>
                <c:pt idx="2">
                  <c:v>125250000</c:v>
                </c:pt>
                <c:pt idx="3">
                  <c:v>1872000000</c:v>
                </c:pt>
                <c:pt idx="4">
                  <c:v>343500000</c:v>
                </c:pt>
                <c:pt idx="5">
                  <c:v>430500000</c:v>
                </c:pt>
                <c:pt idx="6">
                  <c:v>482500000</c:v>
                </c:pt>
                <c:pt idx="7">
                  <c:v>1166000000</c:v>
                </c:pt>
              </c:numCache>
            </c:numRef>
          </c:val>
          <c:extLst>
            <c:ext xmlns:c16="http://schemas.microsoft.com/office/drawing/2014/chart" uri="{C3380CC4-5D6E-409C-BE32-E72D297353CC}">
              <c16:uniqueId val="{00000002-4DCD-4475-9C1A-03318EB0E667}"/>
            </c:ext>
          </c:extLst>
        </c:ser>
        <c:ser>
          <c:idx val="3"/>
          <c:order val="3"/>
          <c:tx>
            <c:strRef>
              <c:f>report!$E$1:$E$2</c:f>
              <c:strCache>
                <c:ptCount val="1"/>
                <c:pt idx="0">
                  <c:v>TikTok Shop</c:v>
                </c:pt>
              </c:strCache>
            </c:strRef>
          </c:tx>
          <c:spPr>
            <a:solidFill>
              <a:schemeClr val="accent4"/>
            </a:solidFill>
            <a:ln>
              <a:noFill/>
            </a:ln>
            <a:effectLst/>
          </c:spPr>
          <c:invertIfNegative val="0"/>
          <c:cat>
            <c:strRef>
              <c:f>report!$A$3:$A$11</c:f>
              <c:strCache>
                <c:ptCount val="8"/>
                <c:pt idx="0">
                  <c:v>Chat Commerce Integration</c:v>
                </c:pt>
                <c:pt idx="1">
                  <c:v>Custom Dashboard Analytics</c:v>
                </c:pt>
                <c:pt idx="2">
                  <c:v>ICOMERCE Fulfillment Fee</c:v>
                </c:pt>
                <c:pt idx="3">
                  <c:v>SIRCLO Commerce Enterprise</c:v>
                </c:pt>
                <c:pt idx="4">
                  <c:v>SIRCLO Store Basic</c:v>
                </c:pt>
                <c:pt idx="5">
                  <c:v>SIRCLO Store Pro</c:v>
                </c:pt>
                <c:pt idx="6">
                  <c:v>Swift Omnichannel Basic</c:v>
                </c:pt>
                <c:pt idx="7">
                  <c:v>Swift Omnichannel Premium</c:v>
                </c:pt>
              </c:strCache>
            </c:strRef>
          </c:cat>
          <c:val>
            <c:numRef>
              <c:f>report!$E$3:$E$11</c:f>
              <c:numCache>
                <c:formatCode>#,##0</c:formatCode>
                <c:ptCount val="8"/>
                <c:pt idx="0">
                  <c:v>504000000</c:v>
                </c:pt>
                <c:pt idx="1">
                  <c:v>816000000</c:v>
                </c:pt>
                <c:pt idx="2">
                  <c:v>164250000</c:v>
                </c:pt>
                <c:pt idx="3">
                  <c:v>2064000000</c:v>
                </c:pt>
                <c:pt idx="4">
                  <c:v>318000000</c:v>
                </c:pt>
                <c:pt idx="5">
                  <c:v>651000000</c:v>
                </c:pt>
                <c:pt idx="6">
                  <c:v>440000000</c:v>
                </c:pt>
                <c:pt idx="7">
                  <c:v>1375000000</c:v>
                </c:pt>
              </c:numCache>
            </c:numRef>
          </c:val>
          <c:extLst>
            <c:ext xmlns:c16="http://schemas.microsoft.com/office/drawing/2014/chart" uri="{C3380CC4-5D6E-409C-BE32-E72D297353CC}">
              <c16:uniqueId val="{00000003-4DCD-4475-9C1A-03318EB0E667}"/>
            </c:ext>
          </c:extLst>
        </c:ser>
        <c:ser>
          <c:idx val="4"/>
          <c:order val="4"/>
          <c:tx>
            <c:strRef>
              <c:f>report!$F$1:$F$2</c:f>
              <c:strCache>
                <c:ptCount val="1"/>
                <c:pt idx="0">
                  <c:v>Tokopedia</c:v>
                </c:pt>
              </c:strCache>
            </c:strRef>
          </c:tx>
          <c:spPr>
            <a:solidFill>
              <a:schemeClr val="accent5"/>
            </a:solidFill>
            <a:ln>
              <a:noFill/>
            </a:ln>
            <a:effectLst/>
          </c:spPr>
          <c:invertIfNegative val="0"/>
          <c:cat>
            <c:strRef>
              <c:f>report!$A$3:$A$11</c:f>
              <c:strCache>
                <c:ptCount val="8"/>
                <c:pt idx="0">
                  <c:v>Chat Commerce Integration</c:v>
                </c:pt>
                <c:pt idx="1">
                  <c:v>Custom Dashboard Analytics</c:v>
                </c:pt>
                <c:pt idx="2">
                  <c:v>ICOMERCE Fulfillment Fee</c:v>
                </c:pt>
                <c:pt idx="3">
                  <c:v>SIRCLO Commerce Enterprise</c:v>
                </c:pt>
                <c:pt idx="4">
                  <c:v>SIRCLO Store Basic</c:v>
                </c:pt>
                <c:pt idx="5">
                  <c:v>SIRCLO Store Pro</c:v>
                </c:pt>
                <c:pt idx="6">
                  <c:v>Swift Omnichannel Basic</c:v>
                </c:pt>
                <c:pt idx="7">
                  <c:v>Swift Omnichannel Premium</c:v>
                </c:pt>
              </c:strCache>
            </c:strRef>
          </c:cat>
          <c:val>
            <c:numRef>
              <c:f>report!$F$3:$F$11</c:f>
              <c:numCache>
                <c:formatCode>#,##0</c:formatCode>
                <c:ptCount val="8"/>
                <c:pt idx="0">
                  <c:v>308000000</c:v>
                </c:pt>
                <c:pt idx="1">
                  <c:v>792000000</c:v>
                </c:pt>
                <c:pt idx="2">
                  <c:v>139500000</c:v>
                </c:pt>
                <c:pt idx="3">
                  <c:v>2784000000</c:v>
                </c:pt>
                <c:pt idx="4">
                  <c:v>357000000</c:v>
                </c:pt>
                <c:pt idx="5">
                  <c:v>857500000</c:v>
                </c:pt>
                <c:pt idx="6">
                  <c:v>487500000</c:v>
                </c:pt>
                <c:pt idx="7">
                  <c:v>1050500000</c:v>
                </c:pt>
              </c:numCache>
            </c:numRef>
          </c:val>
          <c:extLst>
            <c:ext xmlns:c16="http://schemas.microsoft.com/office/drawing/2014/chart" uri="{C3380CC4-5D6E-409C-BE32-E72D297353CC}">
              <c16:uniqueId val="{00000004-4DCD-4475-9C1A-03318EB0E667}"/>
            </c:ext>
          </c:extLst>
        </c:ser>
        <c:dLbls>
          <c:dLblPos val="outEnd"/>
          <c:showLegendKey val="0"/>
          <c:showVal val="0"/>
          <c:showCatName val="0"/>
          <c:showSerName val="0"/>
          <c:showPercent val="0"/>
          <c:showBubbleSize val="0"/>
        </c:dLbls>
        <c:gapWidth val="182"/>
        <c:axId val="757582223"/>
        <c:axId val="611189232"/>
      </c:barChart>
      <c:catAx>
        <c:axId val="757582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89232"/>
        <c:crosses val="autoZero"/>
        <c:auto val="1"/>
        <c:lblAlgn val="ctr"/>
        <c:lblOffset val="100"/>
        <c:noMultiLvlLbl val="0"/>
      </c:catAx>
      <c:valAx>
        <c:axId val="6111892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58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[SIRCLO_Sales_Database_2026.xlsx]report!PivotTable3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ID_Produk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report!$B$14</c:f>
              <c:strCache>
                <c:ptCount val="1"/>
                <c:pt idx="0">
                  <c:v>Count of ID_Produk</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report!$A$15:$A$19</c:f>
              <c:strCache>
                <c:ptCount val="4"/>
                <c:pt idx="0">
                  <c:v>Cancelled</c:v>
                </c:pt>
                <c:pt idx="1">
                  <c:v>Delivered</c:v>
                </c:pt>
                <c:pt idx="2">
                  <c:v>In Transit</c:v>
                </c:pt>
                <c:pt idx="3">
                  <c:v>Returned</c:v>
                </c:pt>
              </c:strCache>
            </c:strRef>
          </c:cat>
          <c:val>
            <c:numRef>
              <c:f>report!$B$15:$B$19</c:f>
              <c:numCache>
                <c:formatCode>0%</c:formatCode>
                <c:ptCount val="4"/>
                <c:pt idx="0">
                  <c:v>0.155</c:v>
                </c:pt>
                <c:pt idx="1">
                  <c:v>0.504</c:v>
                </c:pt>
                <c:pt idx="2">
                  <c:v>0.16300000000000001</c:v>
                </c:pt>
                <c:pt idx="3">
                  <c:v>0.17799999999999999</c:v>
                </c:pt>
              </c:numCache>
            </c:numRef>
          </c:val>
          <c:extLst>
            <c:ext xmlns:c16="http://schemas.microsoft.com/office/drawing/2014/chart" uri="{C3380CC4-5D6E-409C-BE32-E72D297353CC}">
              <c16:uniqueId val="{00000000-E0FE-4F6D-A294-CB178841D269}"/>
            </c:ext>
          </c:extLst>
        </c:ser>
        <c:ser>
          <c:idx val="1"/>
          <c:order val="1"/>
          <c:tx>
            <c:strRef>
              <c:f>report!$C$14</c:f>
              <c:strCache>
                <c:ptCount val="1"/>
                <c:pt idx="0">
                  <c:v>Sum of Total_Penjualan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report!$A$15:$A$19</c:f>
              <c:strCache>
                <c:ptCount val="4"/>
                <c:pt idx="0">
                  <c:v>Cancelled</c:v>
                </c:pt>
                <c:pt idx="1">
                  <c:v>Delivered</c:v>
                </c:pt>
                <c:pt idx="2">
                  <c:v>In Transit</c:v>
                </c:pt>
                <c:pt idx="3">
                  <c:v>Returned</c:v>
                </c:pt>
              </c:strCache>
            </c:strRef>
          </c:cat>
          <c:val>
            <c:numRef>
              <c:f>report!$C$15:$C$19</c:f>
              <c:numCache>
                <c:formatCode>#,##0</c:formatCode>
                <c:ptCount val="4"/>
                <c:pt idx="0">
                  <c:v>5243250000</c:v>
                </c:pt>
                <c:pt idx="1">
                  <c:v>16907000000</c:v>
                </c:pt>
                <c:pt idx="2">
                  <c:v>4656250000</c:v>
                </c:pt>
                <c:pt idx="3">
                  <c:v>4915000000</c:v>
                </c:pt>
              </c:numCache>
            </c:numRef>
          </c:val>
          <c:extLst>
            <c:ext xmlns:c16="http://schemas.microsoft.com/office/drawing/2014/chart" uri="{C3380CC4-5D6E-409C-BE32-E72D297353CC}">
              <c16:uniqueId val="{00000001-E0FE-4F6D-A294-CB178841D26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180975</xdr:colOff>
      <xdr:row>0</xdr:row>
      <xdr:rowOff>19050</xdr:rowOff>
    </xdr:from>
    <xdr:to>
      <xdr:col>9</xdr:col>
      <xdr:colOff>457200</xdr:colOff>
      <xdr:row>11</xdr:row>
      <xdr:rowOff>19049</xdr:rowOff>
    </xdr:to>
    <mc:AlternateContent xmlns:mc="http://schemas.openxmlformats.org/markup-compatibility/2006">
      <mc:Choice xmlns:a14="http://schemas.microsoft.com/office/drawing/2010/main" Requires="a14">
        <xdr:graphicFrame macro="">
          <xdr:nvGraphicFramePr>
            <xdr:cNvPr id="3" name="Kategori">
              <a:extLst>
                <a:ext uri="{FF2B5EF4-FFF2-40B4-BE49-F238E27FC236}">
                  <a16:creationId xmlns:a16="http://schemas.microsoft.com/office/drawing/2014/main" id="{615B5FB7-68CC-0CE3-4284-58F5D9B08F31}"/>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dr:sp macro="" textlink="">
          <xdr:nvSpPr>
            <xdr:cNvPr id="0" name=""/>
            <xdr:cNvSpPr>
              <a:spLocks noTextEdit="1"/>
            </xdr:cNvSpPr>
          </xdr:nvSpPr>
          <xdr:spPr>
            <a:xfrm>
              <a:off x="9086094" y="19050"/>
              <a:ext cx="1485749" cy="2162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0</xdr:row>
      <xdr:rowOff>43543</xdr:rowOff>
    </xdr:from>
    <xdr:to>
      <xdr:col>15</xdr:col>
      <xdr:colOff>272143</xdr:colOff>
      <xdr:row>7</xdr:row>
      <xdr:rowOff>81643</xdr:rowOff>
    </xdr:to>
    <mc:AlternateContent xmlns:mc="http://schemas.openxmlformats.org/markup-compatibility/2006">
      <mc:Choice xmlns:tsle="http://schemas.microsoft.com/office/drawing/2012/timeslicer" Requires="tsle">
        <xdr:graphicFrame macro="">
          <xdr:nvGraphicFramePr>
            <xdr:cNvPr id="7" name="Tanggal">
              <a:extLst>
                <a:ext uri="{FF2B5EF4-FFF2-40B4-BE49-F238E27FC236}">
                  <a16:creationId xmlns:a16="http://schemas.microsoft.com/office/drawing/2014/main" id="{E85E0C3B-D884-AEC9-73D2-F784627A05F0}"/>
                </a:ext>
              </a:extLst>
            </xdr:cNvPr>
            <xdr:cNvGraphicFramePr/>
          </xdr:nvGraphicFramePr>
          <xdr:xfrm>
            <a:off x="0" y="0"/>
            <a:ext cx="0" cy="0"/>
          </xdr:xfrm>
          <a:graphic>
            <a:graphicData uri="http://schemas.microsoft.com/office/drawing/2012/timeslicer">
              <tsle:timeslicer xmlns:tsle="http://schemas.microsoft.com/office/drawing/2012/timeslicer" name="Tanggal"/>
            </a:graphicData>
          </a:graphic>
        </xdr:graphicFrame>
      </mc:Choice>
      <mc:Fallback>
        <xdr:sp macro="" textlink="">
          <xdr:nvSpPr>
            <xdr:cNvPr id="0" name=""/>
            <xdr:cNvSpPr>
              <a:spLocks noTextEdit="1"/>
            </xdr:cNvSpPr>
          </xdr:nvSpPr>
          <xdr:spPr>
            <a:xfrm>
              <a:off x="10719405" y="43543"/>
              <a:ext cx="3295952" cy="14139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13607</xdr:colOff>
      <xdr:row>8</xdr:row>
      <xdr:rowOff>10206</xdr:rowOff>
    </xdr:from>
    <xdr:to>
      <xdr:col>17</xdr:col>
      <xdr:colOff>285750</xdr:colOff>
      <xdr:row>22</xdr:row>
      <xdr:rowOff>86406</xdr:rowOff>
    </xdr:to>
    <xdr:graphicFrame macro="">
      <xdr:nvGraphicFramePr>
        <xdr:cNvPr id="8" name="Chart 7">
          <a:extLst>
            <a:ext uri="{FF2B5EF4-FFF2-40B4-BE49-F238E27FC236}">
              <a16:creationId xmlns:a16="http://schemas.microsoft.com/office/drawing/2014/main" id="{F2587487-B8A2-2E7C-4CD3-D3C5961A1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102053</xdr:colOff>
      <xdr:row>13</xdr:row>
      <xdr:rowOff>2722</xdr:rowOff>
    </xdr:from>
    <xdr:to>
      <xdr:col>6</xdr:col>
      <xdr:colOff>557893</xdr:colOff>
      <xdr:row>23</xdr:row>
      <xdr:rowOff>108858</xdr:rowOff>
    </xdr:to>
    <xdr:graphicFrame macro="">
      <xdr:nvGraphicFramePr>
        <xdr:cNvPr id="9" name="Chart 8">
          <a:extLst>
            <a:ext uri="{FF2B5EF4-FFF2-40B4-BE49-F238E27FC236}">
              <a16:creationId xmlns:a16="http://schemas.microsoft.com/office/drawing/2014/main" id="{17E28190-7BC2-C494-95B0-2D20C7A60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2.360368055553" createdVersion="8" refreshedVersion="8" minRefreshableVersion="3" recordCount="1000" xr:uid="{3C963279-29B5-41CD-961A-D2092927C331}">
  <cacheSource type="worksheet">
    <worksheetSource ref="A1:N1001" sheet="Sales_Data"/>
  </cacheSource>
  <cacheFields count="14">
    <cacheField name="ID_Transaksi" numFmtId="0">
      <sharedItems/>
    </cacheField>
    <cacheField name="Tanggal" numFmtId="14">
      <sharedItems containsSemiMixedTypes="0" containsNonDate="0" containsDate="1" containsString="0" minDate="2026-01-01T00:00:00" maxDate="2026-08-10T00:00:00" count="218">
        <d v="2026-06-13T00:00:00"/>
        <d v="2026-02-05T00:00:00"/>
        <d v="2026-01-24T00:00:00"/>
        <d v="2026-07-03T00:00:00"/>
        <d v="2026-07-26T00:00:00"/>
        <d v="2026-07-15T00:00:00"/>
        <d v="2026-08-05T00:00:00"/>
        <d v="2026-05-18T00:00:00"/>
        <d v="2026-08-09T00:00:00"/>
        <d v="2026-02-28T00:00:00"/>
        <d v="2026-03-13T00:00:00"/>
        <d v="2026-06-21T00:00:00"/>
        <d v="2026-03-04T00:00:00"/>
        <d v="2026-05-23T00:00:00"/>
        <d v="2026-01-09T00:00:00"/>
        <d v="2026-04-28T00:00:00"/>
        <d v="2026-06-10T00:00:00"/>
        <d v="2026-06-02T00:00:00"/>
        <d v="2026-01-30T00:00:00"/>
        <d v="2026-04-27T00:00:00"/>
        <d v="2026-05-06T00:00:00"/>
        <d v="2026-01-15T00:00:00"/>
        <d v="2026-07-28T00:00:00"/>
        <d v="2026-05-02T00:00:00"/>
        <d v="2026-07-13T00:00:00"/>
        <d v="2026-04-26T00:00:00"/>
        <d v="2026-05-31T00:00:00"/>
        <d v="2026-06-11T00:00:00"/>
        <d v="2026-05-12T00:00:00"/>
        <d v="2026-02-03T00:00:00"/>
        <d v="2026-01-25T00:00:00"/>
        <d v="2026-07-06T00:00:00"/>
        <d v="2026-07-24T00:00:00"/>
        <d v="2026-01-20T00:00:00"/>
        <d v="2026-08-03T00:00:00"/>
        <d v="2026-05-05T00:00:00"/>
        <d v="2026-04-08T00:00:00"/>
        <d v="2026-06-28T00:00:00"/>
        <d v="2026-05-29T00:00:00"/>
        <d v="2026-05-09T00:00:00"/>
        <d v="2026-05-25T00:00:00"/>
        <d v="2026-04-12T00:00:00"/>
        <d v="2026-02-10T00:00:00"/>
        <d v="2026-06-17T00:00:00"/>
        <d v="2026-02-23T00:00:00"/>
        <d v="2026-03-06T00:00:00"/>
        <d v="2026-01-01T00:00:00"/>
        <d v="2026-04-24T00:00:00"/>
        <d v="2026-02-08T00:00:00"/>
        <d v="2026-01-11T00:00:00"/>
        <d v="2026-06-24T00:00:00"/>
        <d v="2026-02-09T00:00:00"/>
        <d v="2026-02-15T00:00:00"/>
        <d v="2026-07-21T00:00:00"/>
        <d v="2026-02-21T00:00:00"/>
        <d v="2026-06-18T00:00:00"/>
        <d v="2026-03-08T00:00:00"/>
        <d v="2026-04-22T00:00:00"/>
        <d v="2026-02-18T00:00:00"/>
        <d v="2026-06-09T00:00:00"/>
        <d v="2026-06-20T00:00:00"/>
        <d v="2026-02-19T00:00:00"/>
        <d v="2026-03-19T00:00:00"/>
        <d v="2026-03-14T00:00:00"/>
        <d v="2026-02-27T00:00:00"/>
        <d v="2026-06-06T00:00:00"/>
        <d v="2026-04-09T00:00:00"/>
        <d v="2026-01-02T00:00:00"/>
        <d v="2026-04-29T00:00:00"/>
        <d v="2026-07-25T00:00:00"/>
        <d v="2026-07-16T00:00:00"/>
        <d v="2026-03-15T00:00:00"/>
        <d v="2026-01-17T00:00:00"/>
        <d v="2026-02-22T00:00:00"/>
        <d v="2026-05-03T00:00:00"/>
        <d v="2026-07-11T00:00:00"/>
        <d v="2026-01-08T00:00:00"/>
        <d v="2026-08-04T00:00:00"/>
        <d v="2026-08-01T00:00:00"/>
        <d v="2026-03-03T00:00:00"/>
        <d v="2026-04-30T00:00:00"/>
        <d v="2026-01-28T00:00:00"/>
        <d v="2026-02-20T00:00:00"/>
        <d v="2026-07-17T00:00:00"/>
        <d v="2026-06-15T00:00:00"/>
        <d v="2026-04-21T00:00:00"/>
        <d v="2026-07-07T00:00:00"/>
        <d v="2026-07-31T00:00:00"/>
        <d v="2026-05-07T00:00:00"/>
        <d v="2026-05-13T00:00:00"/>
        <d v="2026-07-14T00:00:00"/>
        <d v="2026-01-05T00:00:00"/>
        <d v="2026-03-20T00:00:00"/>
        <d v="2026-05-21T00:00:00"/>
        <d v="2026-07-10T00:00:00"/>
        <d v="2026-04-03T00:00:00"/>
        <d v="2026-01-14T00:00:00"/>
        <d v="2026-01-04T00:00:00"/>
        <d v="2026-01-19T00:00:00"/>
        <d v="2026-01-31T00:00:00"/>
        <d v="2026-06-08T00:00:00"/>
        <d v="2026-02-24T00:00:00"/>
        <d v="2026-05-01T00:00:00"/>
        <d v="2026-06-29T00:00:00"/>
        <d v="2026-07-22T00:00:00"/>
        <d v="2026-03-10T00:00:00"/>
        <d v="2026-06-03T00:00:00"/>
        <d v="2026-01-07T00:00:00"/>
        <d v="2026-05-30T00:00:00"/>
        <d v="2026-03-27T00:00:00"/>
        <d v="2026-06-27T00:00:00"/>
        <d v="2026-04-14T00:00:00"/>
        <d v="2026-03-21T00:00:00"/>
        <d v="2026-03-16T00:00:00"/>
        <d v="2026-07-05T00:00:00"/>
        <d v="2026-03-23T00:00:00"/>
        <d v="2026-02-02T00:00:00"/>
        <d v="2026-07-20T00:00:00"/>
        <d v="2026-08-07T00:00:00"/>
        <d v="2026-06-25T00:00:00"/>
        <d v="2026-03-25T00:00:00"/>
        <d v="2026-01-21T00:00:00"/>
        <d v="2026-02-06T00:00:00"/>
        <d v="2026-06-26T00:00:00"/>
        <d v="2026-05-28T00:00:00"/>
        <d v="2026-06-22T00:00:00"/>
        <d v="2026-03-01T00:00:00"/>
        <d v="2026-01-26T00:00:00"/>
        <d v="2026-04-05T00:00:00"/>
        <d v="2026-03-12T00:00:00"/>
        <d v="2026-06-19T00:00:00"/>
        <d v="2026-03-24T00:00:00"/>
        <d v="2026-04-18T00:00:00"/>
        <d v="2026-06-01T00:00:00"/>
        <d v="2026-06-04T00:00:00"/>
        <d v="2026-03-22T00:00:00"/>
        <d v="2026-04-06T00:00:00"/>
        <d v="2026-04-16T00:00:00"/>
        <d v="2026-05-04T00:00:00"/>
        <d v="2026-05-16T00:00:00"/>
        <d v="2026-03-30T00:00:00"/>
        <d v="2026-01-23T00:00:00"/>
        <d v="2026-05-15T00:00:00"/>
        <d v="2026-02-26T00:00:00"/>
        <d v="2026-02-07T00:00:00"/>
        <d v="2026-06-14T00:00:00"/>
        <d v="2026-05-10T00:00:00"/>
        <d v="2026-05-27T00:00:00"/>
        <d v="2026-01-16T00:00:00"/>
        <d v="2026-05-14T00:00:00"/>
        <d v="2026-07-18T00:00:00"/>
        <d v="2026-07-01T00:00:00"/>
        <d v="2026-03-26T00:00:00"/>
        <d v="2026-07-04T00:00:00"/>
        <d v="2026-04-25T00:00:00"/>
        <d v="2026-07-02T00:00:00"/>
        <d v="2026-03-07T00:00:00"/>
        <d v="2026-04-01T00:00:00"/>
        <d v="2026-01-22T00:00:00"/>
        <d v="2026-04-02T00:00:00"/>
        <d v="2026-07-27T00:00:00"/>
        <d v="2026-03-11T00:00:00"/>
        <d v="2026-01-18T00:00:00"/>
        <d v="2026-04-10T00:00:00"/>
        <d v="2026-05-22T00:00:00"/>
        <d v="2026-02-11T00:00:00"/>
        <d v="2026-06-05T00:00:00"/>
        <d v="2026-03-05T00:00:00"/>
        <d v="2026-06-07T00:00:00"/>
        <d v="2026-01-03T00:00:00"/>
        <d v="2026-05-24T00:00:00"/>
        <d v="2026-04-11T00:00:00"/>
        <d v="2026-03-18T00:00:00"/>
        <d v="2026-04-17T00:00:00"/>
        <d v="2026-05-20T00:00:00"/>
        <d v="2026-01-29T00:00:00"/>
        <d v="2026-02-25T00:00:00"/>
        <d v="2026-05-19T00:00:00"/>
        <d v="2026-04-15T00:00:00"/>
        <d v="2026-03-31T00:00:00"/>
        <d v="2026-06-30T00:00:00"/>
        <d v="2026-04-07T00:00:00"/>
        <d v="2026-07-09T00:00:00"/>
        <d v="2026-07-23T00:00:00"/>
        <d v="2026-06-16T00:00:00"/>
        <d v="2026-08-06T00:00:00"/>
        <d v="2026-06-12T00:00:00"/>
        <d v="2026-07-19T00:00:00"/>
        <d v="2026-02-13T00:00:00"/>
        <d v="2026-02-04T00:00:00"/>
        <d v="2026-05-17T00:00:00"/>
        <d v="2026-06-23T00:00:00"/>
        <d v="2026-03-29T00:00:00"/>
        <d v="2026-02-17T00:00:00"/>
        <d v="2026-04-20T00:00:00"/>
        <d v="2026-07-12T00:00:00"/>
        <d v="2026-02-16T00:00:00"/>
        <d v="2026-07-08T00:00:00"/>
        <d v="2026-04-19T00:00:00"/>
        <d v="2026-02-12T00:00:00"/>
        <d v="2026-04-13T00:00:00"/>
        <d v="2026-05-11T00:00:00"/>
        <d v="2026-01-10T00:00:00"/>
        <d v="2026-05-08T00:00:00"/>
        <d v="2026-02-14T00:00:00"/>
        <d v="2026-03-02T00:00:00"/>
        <d v="2026-01-13T00:00:00"/>
        <d v="2026-01-06T00:00:00"/>
        <d v="2026-08-08T00:00:00"/>
        <d v="2026-07-29T00:00:00"/>
        <d v="2026-01-27T00:00:00"/>
        <d v="2026-07-30T00:00:00"/>
        <d v="2026-04-23T00:00:00"/>
        <d v="2026-04-04T00:00:00"/>
        <d v="2026-01-12T00:00:00"/>
        <d v="2026-03-17T00:00:00"/>
        <d v="2026-03-09T00:00:00"/>
        <d v="2026-08-02T00:00:00"/>
      </sharedItems>
    </cacheField>
    <cacheField name="Bulan" numFmtId="0">
      <sharedItems count="8">
        <s v="June"/>
        <s v="February"/>
        <s v="January"/>
        <s v="July"/>
        <s v="August"/>
        <s v="May"/>
        <s v="March"/>
        <s v="April"/>
      </sharedItems>
    </cacheField>
    <cacheField name="ID_Produk" numFmtId="0">
      <sharedItems/>
    </cacheField>
    <cacheField name="Nama_Produk" numFmtId="0">
      <sharedItems count="8">
        <s v="SIRCLO Store Pro"/>
        <s v="Swift Omnichannel Basic"/>
        <s v="Chat Commerce Integration"/>
        <s v="SIRCLO Commerce Enterprise"/>
        <s v="ICOMERCE Fulfillment Fee"/>
        <s v="Swift Omnichannel Premium"/>
        <s v="Custom Dashboard Analytics"/>
        <s v="SIRCLO Store Basic"/>
      </sharedItems>
    </cacheField>
    <cacheField name="Kategori" numFmtId="0">
      <sharedItems count="6">
        <s v="E-Commerce Tools"/>
        <s v="SaaS Platform"/>
        <s v="Social Commerce"/>
        <s v="Enterprise Solution"/>
        <s v="Fulfillment"/>
        <s v="Analytics"/>
      </sharedItems>
    </cacheField>
    <cacheField name="Kode_Kanal" numFmtId="0">
      <sharedItems/>
    </cacheField>
    <cacheField name="Nama_Kanal" numFmtId="0">
      <sharedItems count="5">
        <s v="Tokopedia"/>
        <s v="TikTok Shop"/>
        <s v="Shopee"/>
        <s v="Blibli"/>
        <s v="Lazada"/>
      </sharedItems>
    </cacheField>
    <cacheField name="Jumlah_Terjual" numFmtId="3">
      <sharedItems containsSemiMixedTypes="0" containsString="0" containsNumber="1" containsInteger="1" minValue="1" maxValue="15"/>
    </cacheField>
    <cacheField name="Harga_Satuan" numFmtId="3">
      <sharedItems containsSemiMixedTypes="0" containsString="0" containsNumber="1" containsInteger="1" minValue="750000" maxValue="12000000"/>
    </cacheField>
    <cacheField name="Total_Penjualan" numFmtId="3">
      <sharedItems containsSemiMixedTypes="0" containsString="0" containsNumber="1" containsInteger="1" minValue="750000" maxValue="180000000"/>
    </cacheField>
    <cacheField name="Diskon_%" numFmtId="9">
      <sharedItems containsSemiMixedTypes="0" containsString="0" containsNumber="1" minValue="0" maxValue="0.15"/>
    </cacheField>
    <cacheField name="Status_Pengiriman" numFmtId="0">
      <sharedItems count="4">
        <s v="Delivered"/>
        <s v="Cancelled"/>
        <s v="Returned"/>
        <s v="In Transit"/>
      </sharedItems>
    </cacheField>
    <cacheField name="Kode_Aktivasi" numFmtId="0">
      <sharedItems/>
    </cacheField>
  </cacheFields>
  <extLst>
    <ext xmlns:x14="http://schemas.microsoft.com/office/spreadsheetml/2009/9/main" uri="{725AE2AE-9491-48be-B2B4-4EB974FC3084}">
      <x14:pivotCacheDefinition pivotCacheId="256609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RX-2026-0001"/>
    <x v="0"/>
    <x v="0"/>
    <s v="PRD-002"/>
    <x v="0"/>
    <x v="0"/>
    <s v="TOK"/>
    <x v="0"/>
    <n v="12"/>
    <n v="3500000"/>
    <n v="42000000"/>
    <n v="0.1"/>
    <x v="0"/>
    <s v="ACT-328-TOK-0001"/>
  </r>
  <r>
    <s v="TRX-2026-0002"/>
    <x v="1"/>
    <x v="1"/>
    <s v="PRD-002"/>
    <x v="0"/>
    <x v="0"/>
    <s v="TIK"/>
    <x v="1"/>
    <n v="2"/>
    <n v="3500000"/>
    <n v="7000000"/>
    <n v="0.15"/>
    <x v="0"/>
    <s v="ACT-130-TIK-0002"/>
  </r>
  <r>
    <s v="TRX-2026-0003"/>
    <x v="2"/>
    <x v="2"/>
    <s v="PRD-004"/>
    <x v="1"/>
    <x v="1"/>
    <s v="SHO"/>
    <x v="2"/>
    <n v="9"/>
    <n v="2500000"/>
    <n v="22500000"/>
    <n v="0"/>
    <x v="1"/>
    <s v="ACT-303-SHO-0003"/>
  </r>
  <r>
    <s v="TRX-2026-0004"/>
    <x v="3"/>
    <x v="3"/>
    <s v="PRD-007"/>
    <x v="2"/>
    <x v="2"/>
    <s v="SHO"/>
    <x v="2"/>
    <n v="8"/>
    <n v="2000000"/>
    <n v="16000000"/>
    <n v="0.1"/>
    <x v="0"/>
    <s v="ACT-877-SHO-0004"/>
  </r>
  <r>
    <s v="TRX-2026-0005"/>
    <x v="4"/>
    <x v="3"/>
    <s v="PRD-003"/>
    <x v="3"/>
    <x v="3"/>
    <s v="BLI"/>
    <x v="3"/>
    <n v="6"/>
    <n v="12000000"/>
    <n v="72000000"/>
    <n v="0.1"/>
    <x v="0"/>
    <s v="ACT-320-BLI-0005"/>
  </r>
  <r>
    <s v="TRX-2026-0006"/>
    <x v="5"/>
    <x v="3"/>
    <s v="PRD-006"/>
    <x v="4"/>
    <x v="4"/>
    <s v="TOK"/>
    <x v="0"/>
    <n v="2"/>
    <n v="750000"/>
    <n v="1500000"/>
    <n v="0.15"/>
    <x v="0"/>
    <s v="ACT-467-TOK-0006"/>
  </r>
  <r>
    <s v="TRX-2026-0007"/>
    <x v="6"/>
    <x v="4"/>
    <s v="PRD-006"/>
    <x v="4"/>
    <x v="4"/>
    <s v="TIK"/>
    <x v="1"/>
    <n v="5"/>
    <n v="750000"/>
    <n v="3750000"/>
    <n v="0"/>
    <x v="2"/>
    <s v="ACT-570-TIK-0007"/>
  </r>
  <r>
    <s v="TRX-2026-0008"/>
    <x v="7"/>
    <x v="5"/>
    <s v="PRD-002"/>
    <x v="0"/>
    <x v="0"/>
    <s v="BLI"/>
    <x v="3"/>
    <n v="2"/>
    <n v="3500000"/>
    <n v="7000000"/>
    <n v="0.1"/>
    <x v="2"/>
    <s v="ACT-733-BLI-0008"/>
  </r>
  <r>
    <s v="TRX-2026-0009"/>
    <x v="8"/>
    <x v="4"/>
    <s v="PRD-006"/>
    <x v="4"/>
    <x v="4"/>
    <s v="TIK"/>
    <x v="1"/>
    <n v="4"/>
    <n v="750000"/>
    <n v="3000000"/>
    <n v="0"/>
    <x v="0"/>
    <s v="ACT-777-TIK-0009"/>
  </r>
  <r>
    <s v="TRX-2026-0010"/>
    <x v="9"/>
    <x v="1"/>
    <s v="PRD-005"/>
    <x v="5"/>
    <x v="1"/>
    <s v="TOK"/>
    <x v="0"/>
    <n v="14"/>
    <n v="5500000"/>
    <n v="77000000"/>
    <n v="0.05"/>
    <x v="0"/>
    <s v="ACT-489-TOK-0010"/>
  </r>
  <r>
    <s v="TRX-2026-0011"/>
    <x v="10"/>
    <x v="6"/>
    <s v="PRD-008"/>
    <x v="6"/>
    <x v="5"/>
    <s v="LAZ"/>
    <x v="4"/>
    <n v="3"/>
    <n v="4000000"/>
    <n v="12000000"/>
    <n v="0.1"/>
    <x v="0"/>
    <s v="ACT-314-LAZ-0011"/>
  </r>
  <r>
    <s v="TRX-2026-0012"/>
    <x v="11"/>
    <x v="0"/>
    <s v="PRD-005"/>
    <x v="5"/>
    <x v="1"/>
    <s v="TOK"/>
    <x v="0"/>
    <n v="10"/>
    <n v="5500000"/>
    <n v="55000000"/>
    <n v="0.05"/>
    <x v="1"/>
    <s v="ACT-846-TOK-0012"/>
  </r>
  <r>
    <s v="TRX-2026-0013"/>
    <x v="12"/>
    <x v="6"/>
    <s v="PRD-003"/>
    <x v="3"/>
    <x v="3"/>
    <s v="BLI"/>
    <x v="3"/>
    <n v="7"/>
    <n v="12000000"/>
    <n v="84000000"/>
    <n v="0.1"/>
    <x v="2"/>
    <s v="ACT-804-BLI-0013"/>
  </r>
  <r>
    <s v="TRX-2026-0014"/>
    <x v="13"/>
    <x v="5"/>
    <s v="PRD-004"/>
    <x v="1"/>
    <x v="1"/>
    <s v="LAZ"/>
    <x v="4"/>
    <n v="14"/>
    <n v="2500000"/>
    <n v="35000000"/>
    <n v="0"/>
    <x v="0"/>
    <s v="ACT-941-LAZ-0014"/>
  </r>
  <r>
    <s v="TRX-2026-0015"/>
    <x v="14"/>
    <x v="2"/>
    <s v="PRD-006"/>
    <x v="4"/>
    <x v="4"/>
    <s v="BLI"/>
    <x v="3"/>
    <n v="5"/>
    <n v="750000"/>
    <n v="3750000"/>
    <n v="0"/>
    <x v="0"/>
    <s v="ACT-680-BLI-0015"/>
  </r>
  <r>
    <s v="TRX-2026-0016"/>
    <x v="3"/>
    <x v="3"/>
    <s v="PRD-006"/>
    <x v="4"/>
    <x v="4"/>
    <s v="SHO"/>
    <x v="2"/>
    <n v="11"/>
    <n v="750000"/>
    <n v="8250000"/>
    <n v="0.15"/>
    <x v="3"/>
    <s v="ACT-758-SHO-0016"/>
  </r>
  <r>
    <s v="TRX-2026-0017"/>
    <x v="15"/>
    <x v="7"/>
    <s v="PRD-003"/>
    <x v="3"/>
    <x v="3"/>
    <s v="LAZ"/>
    <x v="4"/>
    <n v="3"/>
    <n v="12000000"/>
    <n v="36000000"/>
    <n v="0.05"/>
    <x v="2"/>
    <s v="ACT-674-LAZ-0017"/>
  </r>
  <r>
    <s v="TRX-2026-0018"/>
    <x v="7"/>
    <x v="5"/>
    <s v="PRD-005"/>
    <x v="5"/>
    <x v="1"/>
    <s v="TIK"/>
    <x v="1"/>
    <n v="7"/>
    <n v="5500000"/>
    <n v="38500000"/>
    <n v="0.15"/>
    <x v="0"/>
    <s v="ACT-324-TIK-0018"/>
  </r>
  <r>
    <s v="TRX-2026-0019"/>
    <x v="1"/>
    <x v="1"/>
    <s v="PRD-008"/>
    <x v="6"/>
    <x v="5"/>
    <s v="TOK"/>
    <x v="0"/>
    <n v="13"/>
    <n v="4000000"/>
    <n v="52000000"/>
    <n v="0"/>
    <x v="0"/>
    <s v="ACT-256-TOK-0019"/>
  </r>
  <r>
    <s v="TRX-2026-0020"/>
    <x v="16"/>
    <x v="0"/>
    <s v="PRD-003"/>
    <x v="3"/>
    <x v="3"/>
    <s v="BLI"/>
    <x v="3"/>
    <n v="10"/>
    <n v="12000000"/>
    <n v="120000000"/>
    <n v="0"/>
    <x v="3"/>
    <s v="ACT-490-BLI-0020"/>
  </r>
  <r>
    <s v="TRX-2026-0021"/>
    <x v="17"/>
    <x v="0"/>
    <s v="PRD-008"/>
    <x v="6"/>
    <x v="5"/>
    <s v="TIK"/>
    <x v="1"/>
    <n v="5"/>
    <n v="4000000"/>
    <n v="20000000"/>
    <n v="0"/>
    <x v="2"/>
    <s v="ACT-838-TIK-0021"/>
  </r>
  <r>
    <s v="TRX-2026-0022"/>
    <x v="18"/>
    <x v="2"/>
    <s v="PRD-005"/>
    <x v="5"/>
    <x v="1"/>
    <s v="LAZ"/>
    <x v="4"/>
    <n v="2"/>
    <n v="5500000"/>
    <n v="11000000"/>
    <n v="0.1"/>
    <x v="3"/>
    <s v="ACT-261-LAZ-0022"/>
  </r>
  <r>
    <s v="TRX-2026-0023"/>
    <x v="19"/>
    <x v="7"/>
    <s v="PRD-001"/>
    <x v="7"/>
    <x v="0"/>
    <s v="LAZ"/>
    <x v="4"/>
    <n v="9"/>
    <n v="1500000"/>
    <n v="13500000"/>
    <n v="0.05"/>
    <x v="1"/>
    <s v="ACT-208-LAZ-0023"/>
  </r>
  <r>
    <s v="TRX-2026-0024"/>
    <x v="16"/>
    <x v="0"/>
    <s v="PRD-005"/>
    <x v="5"/>
    <x v="1"/>
    <s v="TIK"/>
    <x v="1"/>
    <n v="10"/>
    <n v="5500000"/>
    <n v="55000000"/>
    <n v="0.05"/>
    <x v="0"/>
    <s v="ACT-482-TIK-0024"/>
  </r>
  <r>
    <s v="TRX-2026-0025"/>
    <x v="5"/>
    <x v="3"/>
    <s v="PRD-003"/>
    <x v="3"/>
    <x v="3"/>
    <s v="TIK"/>
    <x v="1"/>
    <n v="13"/>
    <n v="12000000"/>
    <n v="156000000"/>
    <n v="0"/>
    <x v="1"/>
    <s v="ACT-431-TIK-0025"/>
  </r>
  <r>
    <s v="TRX-2026-0026"/>
    <x v="20"/>
    <x v="5"/>
    <s v="PRD-001"/>
    <x v="7"/>
    <x v="0"/>
    <s v="TOK"/>
    <x v="0"/>
    <n v="15"/>
    <n v="1500000"/>
    <n v="22500000"/>
    <n v="0.1"/>
    <x v="0"/>
    <s v="ACT-345-TOK-0026"/>
  </r>
  <r>
    <s v="TRX-2026-0027"/>
    <x v="21"/>
    <x v="2"/>
    <s v="PRD-004"/>
    <x v="1"/>
    <x v="1"/>
    <s v="TIK"/>
    <x v="1"/>
    <n v="2"/>
    <n v="2500000"/>
    <n v="5000000"/>
    <n v="0"/>
    <x v="2"/>
    <s v="ACT-597-TIK-0027"/>
  </r>
  <r>
    <s v="TRX-2026-0028"/>
    <x v="22"/>
    <x v="3"/>
    <s v="PRD-002"/>
    <x v="0"/>
    <x v="0"/>
    <s v="TIK"/>
    <x v="1"/>
    <n v="13"/>
    <n v="3500000"/>
    <n v="45500000"/>
    <n v="0.05"/>
    <x v="0"/>
    <s v="ACT-775-TIK-0028"/>
  </r>
  <r>
    <s v="TRX-2026-0029"/>
    <x v="23"/>
    <x v="5"/>
    <s v="PRD-003"/>
    <x v="3"/>
    <x v="3"/>
    <s v="LAZ"/>
    <x v="4"/>
    <n v="9"/>
    <n v="12000000"/>
    <n v="108000000"/>
    <n v="0.15"/>
    <x v="0"/>
    <s v="ACT-652-LAZ-0029"/>
  </r>
  <r>
    <s v="TRX-2026-0030"/>
    <x v="24"/>
    <x v="3"/>
    <s v="PRD-004"/>
    <x v="1"/>
    <x v="1"/>
    <s v="LAZ"/>
    <x v="4"/>
    <n v="7"/>
    <n v="2500000"/>
    <n v="17500000"/>
    <n v="0.1"/>
    <x v="3"/>
    <s v="ACT-629-LAZ-0030"/>
  </r>
  <r>
    <s v="TRX-2026-0031"/>
    <x v="25"/>
    <x v="7"/>
    <s v="PRD-002"/>
    <x v="0"/>
    <x v="0"/>
    <s v="SHO"/>
    <x v="2"/>
    <n v="4"/>
    <n v="3500000"/>
    <n v="14000000"/>
    <n v="0"/>
    <x v="0"/>
    <s v="ACT-121-SHO-0031"/>
  </r>
  <r>
    <s v="TRX-2026-0032"/>
    <x v="26"/>
    <x v="5"/>
    <s v="PRD-004"/>
    <x v="1"/>
    <x v="1"/>
    <s v="TIK"/>
    <x v="1"/>
    <n v="4"/>
    <n v="2500000"/>
    <n v="10000000"/>
    <n v="0"/>
    <x v="0"/>
    <s v="ACT-824-TIK-0032"/>
  </r>
  <r>
    <s v="TRX-2026-0033"/>
    <x v="27"/>
    <x v="0"/>
    <s v="PRD-001"/>
    <x v="7"/>
    <x v="0"/>
    <s v="SHO"/>
    <x v="2"/>
    <n v="2"/>
    <n v="1500000"/>
    <n v="3000000"/>
    <n v="0"/>
    <x v="0"/>
    <s v="ACT-172-SHO-0033"/>
  </r>
  <r>
    <s v="TRX-2026-0034"/>
    <x v="28"/>
    <x v="5"/>
    <s v="PRD-004"/>
    <x v="1"/>
    <x v="1"/>
    <s v="LAZ"/>
    <x v="4"/>
    <n v="11"/>
    <n v="2500000"/>
    <n v="27500000"/>
    <n v="0.15"/>
    <x v="0"/>
    <s v="ACT-652-LAZ-0034"/>
  </r>
  <r>
    <s v="TRX-2026-0035"/>
    <x v="29"/>
    <x v="1"/>
    <s v="PRD-008"/>
    <x v="6"/>
    <x v="5"/>
    <s v="SHO"/>
    <x v="2"/>
    <n v="13"/>
    <n v="4000000"/>
    <n v="52000000"/>
    <n v="0.15"/>
    <x v="3"/>
    <s v="ACT-294-SHO-0035"/>
  </r>
  <r>
    <s v="TRX-2026-0036"/>
    <x v="30"/>
    <x v="2"/>
    <s v="PRD-002"/>
    <x v="0"/>
    <x v="0"/>
    <s v="BLI"/>
    <x v="3"/>
    <n v="6"/>
    <n v="3500000"/>
    <n v="21000000"/>
    <n v="0.15"/>
    <x v="3"/>
    <s v="ACT-578-BLI-0036"/>
  </r>
  <r>
    <s v="TRX-2026-0037"/>
    <x v="31"/>
    <x v="3"/>
    <s v="PRD-001"/>
    <x v="7"/>
    <x v="0"/>
    <s v="TOK"/>
    <x v="0"/>
    <n v="1"/>
    <n v="1500000"/>
    <n v="1500000"/>
    <n v="0.15"/>
    <x v="2"/>
    <s v="ACT-447-TOK-0037"/>
  </r>
  <r>
    <s v="TRX-2026-0038"/>
    <x v="32"/>
    <x v="3"/>
    <s v="PRD-002"/>
    <x v="0"/>
    <x v="0"/>
    <s v="SHO"/>
    <x v="2"/>
    <n v="4"/>
    <n v="3500000"/>
    <n v="14000000"/>
    <n v="0.05"/>
    <x v="1"/>
    <s v="ACT-559-SHO-0038"/>
  </r>
  <r>
    <s v="TRX-2026-0039"/>
    <x v="1"/>
    <x v="1"/>
    <s v="PRD-007"/>
    <x v="2"/>
    <x v="2"/>
    <s v="SHO"/>
    <x v="2"/>
    <n v="5"/>
    <n v="2000000"/>
    <n v="10000000"/>
    <n v="0.15"/>
    <x v="0"/>
    <s v="ACT-995-SHO-0039"/>
  </r>
  <r>
    <s v="TRX-2026-0040"/>
    <x v="33"/>
    <x v="2"/>
    <s v="PRD-008"/>
    <x v="6"/>
    <x v="5"/>
    <s v="TIK"/>
    <x v="1"/>
    <n v="2"/>
    <n v="4000000"/>
    <n v="8000000"/>
    <n v="0"/>
    <x v="2"/>
    <s v="ACT-653-TIK-0040"/>
  </r>
  <r>
    <s v="TRX-2026-0041"/>
    <x v="34"/>
    <x v="4"/>
    <s v="PRD-001"/>
    <x v="7"/>
    <x v="0"/>
    <s v="TOK"/>
    <x v="0"/>
    <n v="15"/>
    <n v="1500000"/>
    <n v="22500000"/>
    <n v="0.05"/>
    <x v="0"/>
    <s v="ACT-516-TOK-0041"/>
  </r>
  <r>
    <s v="TRX-2026-0042"/>
    <x v="35"/>
    <x v="5"/>
    <s v="PRD-008"/>
    <x v="6"/>
    <x v="5"/>
    <s v="SHO"/>
    <x v="2"/>
    <n v="14"/>
    <n v="4000000"/>
    <n v="56000000"/>
    <n v="0.15"/>
    <x v="0"/>
    <s v="ACT-268-SHO-0042"/>
  </r>
  <r>
    <s v="TRX-2026-0043"/>
    <x v="36"/>
    <x v="7"/>
    <s v="PRD-001"/>
    <x v="7"/>
    <x v="0"/>
    <s v="BLI"/>
    <x v="3"/>
    <n v="5"/>
    <n v="1500000"/>
    <n v="7500000"/>
    <n v="0.15"/>
    <x v="0"/>
    <s v="ACT-533-BLI-0043"/>
  </r>
  <r>
    <s v="TRX-2026-0044"/>
    <x v="37"/>
    <x v="0"/>
    <s v="PRD-008"/>
    <x v="6"/>
    <x v="5"/>
    <s v="SHO"/>
    <x v="2"/>
    <n v="4"/>
    <n v="4000000"/>
    <n v="16000000"/>
    <n v="0.1"/>
    <x v="0"/>
    <s v="ACT-159-SHO-0044"/>
  </r>
  <r>
    <s v="TRX-2026-0045"/>
    <x v="38"/>
    <x v="5"/>
    <s v="PRD-001"/>
    <x v="7"/>
    <x v="0"/>
    <s v="LAZ"/>
    <x v="4"/>
    <n v="1"/>
    <n v="1500000"/>
    <n v="1500000"/>
    <n v="0"/>
    <x v="1"/>
    <s v="ACT-588-LAZ-0045"/>
  </r>
  <r>
    <s v="TRX-2026-0046"/>
    <x v="39"/>
    <x v="5"/>
    <s v="PRD-003"/>
    <x v="3"/>
    <x v="3"/>
    <s v="TOK"/>
    <x v="0"/>
    <n v="9"/>
    <n v="12000000"/>
    <n v="108000000"/>
    <n v="0"/>
    <x v="0"/>
    <s v="ACT-170-TOK-0046"/>
  </r>
  <r>
    <s v="TRX-2026-0047"/>
    <x v="17"/>
    <x v="0"/>
    <s v="PRD-002"/>
    <x v="0"/>
    <x v="0"/>
    <s v="SHO"/>
    <x v="2"/>
    <n v="7"/>
    <n v="3500000"/>
    <n v="24500000"/>
    <n v="0"/>
    <x v="1"/>
    <s v="ACT-352-SHO-0047"/>
  </r>
  <r>
    <s v="TRX-2026-0048"/>
    <x v="38"/>
    <x v="5"/>
    <s v="PRD-001"/>
    <x v="7"/>
    <x v="0"/>
    <s v="TIK"/>
    <x v="1"/>
    <n v="2"/>
    <n v="1500000"/>
    <n v="3000000"/>
    <n v="0.15"/>
    <x v="2"/>
    <s v="ACT-697-TIK-0048"/>
  </r>
  <r>
    <s v="TRX-2026-0049"/>
    <x v="40"/>
    <x v="5"/>
    <s v="PRD-006"/>
    <x v="4"/>
    <x v="4"/>
    <s v="LAZ"/>
    <x v="4"/>
    <n v="4"/>
    <n v="750000"/>
    <n v="3000000"/>
    <n v="0.1"/>
    <x v="0"/>
    <s v="ACT-371-LAZ-0049"/>
  </r>
  <r>
    <s v="TRX-2026-0050"/>
    <x v="41"/>
    <x v="7"/>
    <s v="PRD-003"/>
    <x v="3"/>
    <x v="3"/>
    <s v="LAZ"/>
    <x v="4"/>
    <n v="8"/>
    <n v="12000000"/>
    <n v="96000000"/>
    <n v="0.1"/>
    <x v="0"/>
    <s v="ACT-109-LAZ-0050"/>
  </r>
  <r>
    <s v="TRX-2026-0051"/>
    <x v="15"/>
    <x v="7"/>
    <s v="PRD-002"/>
    <x v="0"/>
    <x v="0"/>
    <s v="TOK"/>
    <x v="0"/>
    <n v="9"/>
    <n v="3500000"/>
    <n v="31500000"/>
    <n v="0.05"/>
    <x v="1"/>
    <s v="ACT-371-TOK-0051"/>
  </r>
  <r>
    <s v="TRX-2026-0052"/>
    <x v="29"/>
    <x v="1"/>
    <s v="PRD-006"/>
    <x v="4"/>
    <x v="4"/>
    <s v="TOK"/>
    <x v="0"/>
    <n v="15"/>
    <n v="750000"/>
    <n v="11250000"/>
    <n v="0.05"/>
    <x v="0"/>
    <s v="ACT-391-TOK-0052"/>
  </r>
  <r>
    <s v="TRX-2026-0053"/>
    <x v="42"/>
    <x v="1"/>
    <s v="PRD-008"/>
    <x v="6"/>
    <x v="5"/>
    <s v="TIK"/>
    <x v="1"/>
    <n v="12"/>
    <n v="4000000"/>
    <n v="48000000"/>
    <n v="0.1"/>
    <x v="1"/>
    <s v="ACT-926-TIK-0053"/>
  </r>
  <r>
    <s v="TRX-2026-0054"/>
    <x v="43"/>
    <x v="0"/>
    <s v="PRD-001"/>
    <x v="7"/>
    <x v="0"/>
    <s v="TIK"/>
    <x v="1"/>
    <n v="5"/>
    <n v="1500000"/>
    <n v="7500000"/>
    <n v="0"/>
    <x v="0"/>
    <s v="ACT-370-TIK-0054"/>
  </r>
  <r>
    <s v="TRX-2026-0055"/>
    <x v="18"/>
    <x v="2"/>
    <s v="PRD-002"/>
    <x v="0"/>
    <x v="0"/>
    <s v="TIK"/>
    <x v="1"/>
    <n v="3"/>
    <n v="3500000"/>
    <n v="10500000"/>
    <n v="0.1"/>
    <x v="0"/>
    <s v="ACT-719-TIK-0055"/>
  </r>
  <r>
    <s v="TRX-2026-0056"/>
    <x v="44"/>
    <x v="1"/>
    <s v="PRD-006"/>
    <x v="4"/>
    <x v="4"/>
    <s v="SHO"/>
    <x v="2"/>
    <n v="11"/>
    <n v="750000"/>
    <n v="8250000"/>
    <n v="0.1"/>
    <x v="1"/>
    <s v="ACT-600-SHO-0056"/>
  </r>
  <r>
    <s v="TRX-2026-0057"/>
    <x v="45"/>
    <x v="6"/>
    <s v="PRD-001"/>
    <x v="7"/>
    <x v="0"/>
    <s v="TOK"/>
    <x v="0"/>
    <n v="11"/>
    <n v="1500000"/>
    <n v="16500000"/>
    <n v="0.15"/>
    <x v="0"/>
    <s v="ACT-145-TOK-0057"/>
  </r>
  <r>
    <s v="TRX-2026-0058"/>
    <x v="46"/>
    <x v="2"/>
    <s v="PRD-006"/>
    <x v="4"/>
    <x v="4"/>
    <s v="SHO"/>
    <x v="2"/>
    <n v="11"/>
    <n v="750000"/>
    <n v="8250000"/>
    <n v="0.1"/>
    <x v="0"/>
    <s v="ACT-859-SHO-0058"/>
  </r>
  <r>
    <s v="TRX-2026-0059"/>
    <x v="47"/>
    <x v="7"/>
    <s v="PRD-007"/>
    <x v="2"/>
    <x v="2"/>
    <s v="TIK"/>
    <x v="1"/>
    <n v="1"/>
    <n v="2000000"/>
    <n v="2000000"/>
    <n v="0"/>
    <x v="0"/>
    <s v="ACT-807-TIK-0059"/>
  </r>
  <r>
    <s v="TRX-2026-0060"/>
    <x v="48"/>
    <x v="1"/>
    <s v="PRD-001"/>
    <x v="7"/>
    <x v="0"/>
    <s v="LAZ"/>
    <x v="4"/>
    <n v="10"/>
    <n v="1500000"/>
    <n v="15000000"/>
    <n v="0.05"/>
    <x v="3"/>
    <s v="ACT-230-LAZ-0060"/>
  </r>
  <r>
    <s v="TRX-2026-0061"/>
    <x v="49"/>
    <x v="2"/>
    <s v="PRD-005"/>
    <x v="5"/>
    <x v="1"/>
    <s v="LAZ"/>
    <x v="4"/>
    <n v="15"/>
    <n v="5500000"/>
    <n v="82500000"/>
    <n v="0"/>
    <x v="0"/>
    <s v="ACT-315-LAZ-0061"/>
  </r>
  <r>
    <s v="TRX-2026-0062"/>
    <x v="50"/>
    <x v="0"/>
    <s v="PRD-004"/>
    <x v="1"/>
    <x v="1"/>
    <s v="TOK"/>
    <x v="0"/>
    <n v="6"/>
    <n v="2500000"/>
    <n v="15000000"/>
    <n v="0.15"/>
    <x v="1"/>
    <s v="ACT-867-TOK-0062"/>
  </r>
  <r>
    <s v="TRX-2026-0063"/>
    <x v="51"/>
    <x v="1"/>
    <s v="PRD-004"/>
    <x v="1"/>
    <x v="1"/>
    <s v="SHO"/>
    <x v="2"/>
    <n v="13"/>
    <n v="2500000"/>
    <n v="32500000"/>
    <n v="0.05"/>
    <x v="3"/>
    <s v="ACT-125-SHO-0063"/>
  </r>
  <r>
    <s v="TRX-2026-0064"/>
    <x v="52"/>
    <x v="1"/>
    <s v="PRD-006"/>
    <x v="4"/>
    <x v="4"/>
    <s v="BLI"/>
    <x v="3"/>
    <n v="13"/>
    <n v="750000"/>
    <n v="9750000"/>
    <n v="0.05"/>
    <x v="0"/>
    <s v="ACT-263-BLI-0064"/>
  </r>
  <r>
    <s v="TRX-2026-0065"/>
    <x v="53"/>
    <x v="3"/>
    <s v="PRD-002"/>
    <x v="0"/>
    <x v="0"/>
    <s v="BLI"/>
    <x v="3"/>
    <n v="14"/>
    <n v="3500000"/>
    <n v="49000000"/>
    <n v="0"/>
    <x v="3"/>
    <s v="ACT-327-BLI-0065"/>
  </r>
  <r>
    <s v="TRX-2026-0066"/>
    <x v="54"/>
    <x v="1"/>
    <s v="PRD-008"/>
    <x v="6"/>
    <x v="5"/>
    <s v="LAZ"/>
    <x v="4"/>
    <n v="5"/>
    <n v="4000000"/>
    <n v="20000000"/>
    <n v="0.05"/>
    <x v="0"/>
    <s v="ACT-124-LAZ-0066"/>
  </r>
  <r>
    <s v="TRX-2026-0067"/>
    <x v="55"/>
    <x v="0"/>
    <s v="PRD-004"/>
    <x v="1"/>
    <x v="1"/>
    <s v="BLI"/>
    <x v="3"/>
    <n v="6"/>
    <n v="2500000"/>
    <n v="15000000"/>
    <n v="0.1"/>
    <x v="0"/>
    <s v="ACT-891-BLI-0067"/>
  </r>
  <r>
    <s v="TRX-2026-0068"/>
    <x v="10"/>
    <x v="6"/>
    <s v="PRD-006"/>
    <x v="4"/>
    <x v="4"/>
    <s v="TIK"/>
    <x v="1"/>
    <n v="7"/>
    <n v="750000"/>
    <n v="5250000"/>
    <n v="0.1"/>
    <x v="0"/>
    <s v="ACT-218-TIK-0068"/>
  </r>
  <r>
    <s v="TRX-2026-0069"/>
    <x v="56"/>
    <x v="6"/>
    <s v="PRD-003"/>
    <x v="3"/>
    <x v="3"/>
    <s v="TIK"/>
    <x v="1"/>
    <n v="5"/>
    <n v="12000000"/>
    <n v="60000000"/>
    <n v="0"/>
    <x v="0"/>
    <s v="ACT-710-TIK-0069"/>
  </r>
  <r>
    <s v="TRX-2026-0070"/>
    <x v="57"/>
    <x v="7"/>
    <s v="PRD-006"/>
    <x v="4"/>
    <x v="4"/>
    <s v="LAZ"/>
    <x v="4"/>
    <n v="7"/>
    <n v="750000"/>
    <n v="5250000"/>
    <n v="0"/>
    <x v="3"/>
    <s v="ACT-690-LAZ-0070"/>
  </r>
  <r>
    <s v="TRX-2026-0071"/>
    <x v="58"/>
    <x v="1"/>
    <s v="PRD-005"/>
    <x v="5"/>
    <x v="1"/>
    <s v="TOK"/>
    <x v="0"/>
    <n v="12"/>
    <n v="5500000"/>
    <n v="66000000"/>
    <n v="0.15"/>
    <x v="0"/>
    <s v="ACT-632-TOK-0071"/>
  </r>
  <r>
    <s v="TRX-2026-0072"/>
    <x v="4"/>
    <x v="3"/>
    <s v="PRD-004"/>
    <x v="1"/>
    <x v="1"/>
    <s v="LAZ"/>
    <x v="4"/>
    <n v="7"/>
    <n v="2500000"/>
    <n v="17500000"/>
    <n v="0"/>
    <x v="2"/>
    <s v="ACT-438-LAZ-0072"/>
  </r>
  <r>
    <s v="TRX-2026-0073"/>
    <x v="59"/>
    <x v="0"/>
    <s v="PRD-006"/>
    <x v="4"/>
    <x v="4"/>
    <s v="TOK"/>
    <x v="0"/>
    <n v="12"/>
    <n v="750000"/>
    <n v="9000000"/>
    <n v="0.1"/>
    <x v="1"/>
    <s v="ACT-416-TOK-0073"/>
  </r>
  <r>
    <s v="TRX-2026-0074"/>
    <x v="60"/>
    <x v="0"/>
    <s v="PRD-007"/>
    <x v="2"/>
    <x v="2"/>
    <s v="LAZ"/>
    <x v="4"/>
    <n v="7"/>
    <n v="2000000"/>
    <n v="14000000"/>
    <n v="0.1"/>
    <x v="1"/>
    <s v="ACT-230-LAZ-0074"/>
  </r>
  <r>
    <s v="TRX-2026-0075"/>
    <x v="61"/>
    <x v="1"/>
    <s v="PRD-007"/>
    <x v="2"/>
    <x v="2"/>
    <s v="BLI"/>
    <x v="3"/>
    <n v="11"/>
    <n v="2000000"/>
    <n v="22000000"/>
    <n v="0.05"/>
    <x v="1"/>
    <s v="ACT-682-BLI-0075"/>
  </r>
  <r>
    <s v="TRX-2026-0076"/>
    <x v="62"/>
    <x v="6"/>
    <s v="PRD-007"/>
    <x v="2"/>
    <x v="2"/>
    <s v="TIK"/>
    <x v="1"/>
    <n v="14"/>
    <n v="2000000"/>
    <n v="28000000"/>
    <n v="0"/>
    <x v="0"/>
    <s v="ACT-393-TIK-0076"/>
  </r>
  <r>
    <s v="TRX-2026-0077"/>
    <x v="44"/>
    <x v="1"/>
    <s v="PRD-007"/>
    <x v="2"/>
    <x v="2"/>
    <s v="TIK"/>
    <x v="1"/>
    <n v="10"/>
    <n v="2000000"/>
    <n v="20000000"/>
    <n v="0.1"/>
    <x v="3"/>
    <s v="ACT-552-TIK-0077"/>
  </r>
  <r>
    <s v="TRX-2026-0078"/>
    <x v="47"/>
    <x v="7"/>
    <s v="PRD-004"/>
    <x v="1"/>
    <x v="1"/>
    <s v="TIK"/>
    <x v="1"/>
    <n v="8"/>
    <n v="2500000"/>
    <n v="20000000"/>
    <n v="0.05"/>
    <x v="2"/>
    <s v="ACT-186-TIK-0078"/>
  </r>
  <r>
    <s v="TRX-2026-0079"/>
    <x v="63"/>
    <x v="6"/>
    <s v="PRD-006"/>
    <x v="4"/>
    <x v="4"/>
    <s v="TOK"/>
    <x v="0"/>
    <n v="14"/>
    <n v="750000"/>
    <n v="10500000"/>
    <n v="0.05"/>
    <x v="2"/>
    <s v="ACT-417-TOK-0079"/>
  </r>
  <r>
    <s v="TRX-2026-0080"/>
    <x v="64"/>
    <x v="1"/>
    <s v="PRD-004"/>
    <x v="1"/>
    <x v="1"/>
    <s v="SHO"/>
    <x v="2"/>
    <n v="1"/>
    <n v="2500000"/>
    <n v="2500000"/>
    <n v="0"/>
    <x v="0"/>
    <s v="ACT-586-SHO-0080"/>
  </r>
  <r>
    <s v="TRX-2026-0081"/>
    <x v="65"/>
    <x v="0"/>
    <s v="PRD-002"/>
    <x v="0"/>
    <x v="0"/>
    <s v="BLI"/>
    <x v="3"/>
    <n v="7"/>
    <n v="3500000"/>
    <n v="24500000"/>
    <n v="0.05"/>
    <x v="2"/>
    <s v="ACT-813-BLI-0081"/>
  </r>
  <r>
    <s v="TRX-2026-0082"/>
    <x v="66"/>
    <x v="7"/>
    <s v="PRD-008"/>
    <x v="6"/>
    <x v="5"/>
    <s v="BLI"/>
    <x v="3"/>
    <n v="4"/>
    <n v="4000000"/>
    <n v="16000000"/>
    <n v="0.05"/>
    <x v="2"/>
    <s v="ACT-804-BLI-0082"/>
  </r>
  <r>
    <s v="TRX-2026-0083"/>
    <x v="67"/>
    <x v="2"/>
    <s v="PRD-002"/>
    <x v="0"/>
    <x v="0"/>
    <s v="BLI"/>
    <x v="3"/>
    <n v="4"/>
    <n v="3500000"/>
    <n v="14000000"/>
    <n v="0.05"/>
    <x v="2"/>
    <s v="ACT-630-BLI-0083"/>
  </r>
  <r>
    <s v="TRX-2026-0084"/>
    <x v="68"/>
    <x v="7"/>
    <s v="PRD-001"/>
    <x v="7"/>
    <x v="0"/>
    <s v="TIK"/>
    <x v="1"/>
    <n v="4"/>
    <n v="1500000"/>
    <n v="6000000"/>
    <n v="0"/>
    <x v="3"/>
    <s v="ACT-236-TIK-0084"/>
  </r>
  <r>
    <s v="TRX-2026-0085"/>
    <x v="69"/>
    <x v="3"/>
    <s v="PRD-008"/>
    <x v="6"/>
    <x v="5"/>
    <s v="TIK"/>
    <x v="1"/>
    <n v="9"/>
    <n v="4000000"/>
    <n v="36000000"/>
    <n v="0.1"/>
    <x v="3"/>
    <s v="ACT-727-TIK-0085"/>
  </r>
  <r>
    <s v="TRX-2026-0086"/>
    <x v="22"/>
    <x v="3"/>
    <s v="PRD-007"/>
    <x v="2"/>
    <x v="2"/>
    <s v="TIK"/>
    <x v="1"/>
    <n v="8"/>
    <n v="2000000"/>
    <n v="16000000"/>
    <n v="0.05"/>
    <x v="2"/>
    <s v="ACT-982-TIK-0086"/>
  </r>
  <r>
    <s v="TRX-2026-0087"/>
    <x v="23"/>
    <x v="5"/>
    <s v="PRD-008"/>
    <x v="6"/>
    <x v="5"/>
    <s v="LAZ"/>
    <x v="4"/>
    <n v="13"/>
    <n v="4000000"/>
    <n v="52000000"/>
    <n v="0.05"/>
    <x v="2"/>
    <s v="ACT-383-LAZ-0087"/>
  </r>
  <r>
    <s v="TRX-2026-0088"/>
    <x v="70"/>
    <x v="3"/>
    <s v="PRD-008"/>
    <x v="6"/>
    <x v="5"/>
    <s v="SHO"/>
    <x v="2"/>
    <n v="5"/>
    <n v="4000000"/>
    <n v="20000000"/>
    <n v="0.15"/>
    <x v="0"/>
    <s v="ACT-830-SHO-0088"/>
  </r>
  <r>
    <s v="TRX-2026-0089"/>
    <x v="71"/>
    <x v="6"/>
    <s v="PRD-004"/>
    <x v="1"/>
    <x v="1"/>
    <s v="LAZ"/>
    <x v="4"/>
    <n v="6"/>
    <n v="2500000"/>
    <n v="15000000"/>
    <n v="0.1"/>
    <x v="1"/>
    <s v="ACT-182-LAZ-0089"/>
  </r>
  <r>
    <s v="TRX-2026-0090"/>
    <x v="1"/>
    <x v="1"/>
    <s v="PRD-003"/>
    <x v="3"/>
    <x v="3"/>
    <s v="SHO"/>
    <x v="2"/>
    <n v="7"/>
    <n v="12000000"/>
    <n v="84000000"/>
    <n v="0.05"/>
    <x v="2"/>
    <s v="ACT-319-SHO-0090"/>
  </r>
  <r>
    <s v="TRX-2026-0091"/>
    <x v="72"/>
    <x v="2"/>
    <s v="PRD-007"/>
    <x v="2"/>
    <x v="2"/>
    <s v="BLI"/>
    <x v="3"/>
    <n v="6"/>
    <n v="2000000"/>
    <n v="12000000"/>
    <n v="0.15"/>
    <x v="3"/>
    <s v="ACT-163-BLI-0091"/>
  </r>
  <r>
    <s v="TRX-2026-0092"/>
    <x v="73"/>
    <x v="1"/>
    <s v="PRD-007"/>
    <x v="2"/>
    <x v="2"/>
    <s v="BLI"/>
    <x v="3"/>
    <n v="15"/>
    <n v="2000000"/>
    <n v="30000000"/>
    <n v="0"/>
    <x v="1"/>
    <s v="ACT-489-BLI-0092"/>
  </r>
  <r>
    <s v="TRX-2026-0093"/>
    <x v="74"/>
    <x v="5"/>
    <s v="PRD-001"/>
    <x v="7"/>
    <x v="0"/>
    <s v="LAZ"/>
    <x v="4"/>
    <n v="5"/>
    <n v="1500000"/>
    <n v="7500000"/>
    <n v="0.15"/>
    <x v="3"/>
    <s v="ACT-651-LAZ-0093"/>
  </r>
  <r>
    <s v="TRX-2026-0094"/>
    <x v="75"/>
    <x v="3"/>
    <s v="PRD-004"/>
    <x v="1"/>
    <x v="1"/>
    <s v="BLI"/>
    <x v="3"/>
    <n v="4"/>
    <n v="2500000"/>
    <n v="10000000"/>
    <n v="0.1"/>
    <x v="3"/>
    <s v="ACT-597-BLI-0094"/>
  </r>
  <r>
    <s v="TRX-2026-0095"/>
    <x v="76"/>
    <x v="2"/>
    <s v="PRD-007"/>
    <x v="2"/>
    <x v="2"/>
    <s v="LAZ"/>
    <x v="4"/>
    <n v="11"/>
    <n v="2000000"/>
    <n v="22000000"/>
    <n v="0.15"/>
    <x v="2"/>
    <s v="ACT-269-LAZ-0095"/>
  </r>
  <r>
    <s v="TRX-2026-0096"/>
    <x v="77"/>
    <x v="4"/>
    <s v="PRD-008"/>
    <x v="6"/>
    <x v="5"/>
    <s v="SHO"/>
    <x v="2"/>
    <n v="10"/>
    <n v="4000000"/>
    <n v="40000000"/>
    <n v="0"/>
    <x v="3"/>
    <s v="ACT-706-SHO-0096"/>
  </r>
  <r>
    <s v="TRX-2026-0097"/>
    <x v="40"/>
    <x v="5"/>
    <s v="PRD-001"/>
    <x v="7"/>
    <x v="0"/>
    <s v="TOK"/>
    <x v="0"/>
    <n v="11"/>
    <n v="1500000"/>
    <n v="16500000"/>
    <n v="0.15"/>
    <x v="0"/>
    <s v="ACT-987-TOK-0097"/>
  </r>
  <r>
    <s v="TRX-2026-0098"/>
    <x v="68"/>
    <x v="7"/>
    <s v="PRD-003"/>
    <x v="3"/>
    <x v="3"/>
    <s v="TOK"/>
    <x v="0"/>
    <n v="5"/>
    <n v="12000000"/>
    <n v="60000000"/>
    <n v="0.15"/>
    <x v="0"/>
    <s v="ACT-316-TOK-0098"/>
  </r>
  <r>
    <s v="TRX-2026-0099"/>
    <x v="19"/>
    <x v="7"/>
    <s v="PRD-006"/>
    <x v="4"/>
    <x v="4"/>
    <s v="LAZ"/>
    <x v="4"/>
    <n v="13"/>
    <n v="750000"/>
    <n v="9750000"/>
    <n v="0.15"/>
    <x v="0"/>
    <s v="ACT-870-LAZ-0099"/>
  </r>
  <r>
    <s v="TRX-2026-0100"/>
    <x v="78"/>
    <x v="4"/>
    <s v="PRD-007"/>
    <x v="2"/>
    <x v="2"/>
    <s v="LAZ"/>
    <x v="4"/>
    <n v="14"/>
    <n v="2000000"/>
    <n v="28000000"/>
    <n v="0"/>
    <x v="3"/>
    <s v="ACT-119-LAZ-0100"/>
  </r>
  <r>
    <s v="TRX-2026-0101"/>
    <x v="75"/>
    <x v="3"/>
    <s v="PRD-001"/>
    <x v="7"/>
    <x v="0"/>
    <s v="LAZ"/>
    <x v="4"/>
    <n v="4"/>
    <n v="1500000"/>
    <n v="6000000"/>
    <n v="0"/>
    <x v="2"/>
    <s v="ACT-141-LAZ-0101"/>
  </r>
  <r>
    <s v="TRX-2026-0102"/>
    <x v="24"/>
    <x v="3"/>
    <s v="PRD-001"/>
    <x v="7"/>
    <x v="0"/>
    <s v="SHO"/>
    <x v="2"/>
    <n v="4"/>
    <n v="1500000"/>
    <n v="6000000"/>
    <n v="0"/>
    <x v="1"/>
    <s v="ACT-256-SHO-0102"/>
  </r>
  <r>
    <s v="TRX-2026-0103"/>
    <x v="79"/>
    <x v="6"/>
    <s v="PRD-003"/>
    <x v="3"/>
    <x v="3"/>
    <s v="BLI"/>
    <x v="3"/>
    <n v="11"/>
    <n v="12000000"/>
    <n v="132000000"/>
    <n v="0"/>
    <x v="1"/>
    <s v="ACT-323-BLI-0103"/>
  </r>
  <r>
    <s v="TRX-2026-0104"/>
    <x v="80"/>
    <x v="7"/>
    <s v="PRD-005"/>
    <x v="5"/>
    <x v="1"/>
    <s v="LAZ"/>
    <x v="4"/>
    <n v="3"/>
    <n v="5500000"/>
    <n v="16500000"/>
    <n v="0"/>
    <x v="0"/>
    <s v="ACT-418-LAZ-0104"/>
  </r>
  <r>
    <s v="TRX-2026-0105"/>
    <x v="81"/>
    <x v="2"/>
    <s v="PRD-001"/>
    <x v="7"/>
    <x v="0"/>
    <s v="LAZ"/>
    <x v="4"/>
    <n v="10"/>
    <n v="1500000"/>
    <n v="15000000"/>
    <n v="0.15"/>
    <x v="3"/>
    <s v="ACT-832-LAZ-0105"/>
  </r>
  <r>
    <s v="TRX-2026-0106"/>
    <x v="82"/>
    <x v="1"/>
    <s v="PRD-002"/>
    <x v="0"/>
    <x v="0"/>
    <s v="TIK"/>
    <x v="1"/>
    <n v="12"/>
    <n v="3500000"/>
    <n v="42000000"/>
    <n v="0.05"/>
    <x v="0"/>
    <s v="ACT-813-TIK-0106"/>
  </r>
  <r>
    <s v="TRX-2026-0107"/>
    <x v="83"/>
    <x v="3"/>
    <s v="PRD-005"/>
    <x v="5"/>
    <x v="1"/>
    <s v="TIK"/>
    <x v="1"/>
    <n v="13"/>
    <n v="5500000"/>
    <n v="71500000"/>
    <n v="0"/>
    <x v="1"/>
    <s v="ACT-901-TIK-0107"/>
  </r>
  <r>
    <s v="TRX-2026-0108"/>
    <x v="49"/>
    <x v="2"/>
    <s v="PRD-006"/>
    <x v="4"/>
    <x v="4"/>
    <s v="TIK"/>
    <x v="1"/>
    <n v="7"/>
    <n v="750000"/>
    <n v="5250000"/>
    <n v="0.1"/>
    <x v="0"/>
    <s v="ACT-618-TIK-0108"/>
  </r>
  <r>
    <s v="TRX-2026-0109"/>
    <x v="84"/>
    <x v="0"/>
    <s v="PRD-006"/>
    <x v="4"/>
    <x v="4"/>
    <s v="TOK"/>
    <x v="0"/>
    <n v="14"/>
    <n v="750000"/>
    <n v="10500000"/>
    <n v="0.15"/>
    <x v="3"/>
    <s v="ACT-208-TOK-0109"/>
  </r>
  <r>
    <s v="TRX-2026-0110"/>
    <x v="85"/>
    <x v="7"/>
    <s v="PRD-006"/>
    <x v="4"/>
    <x v="4"/>
    <s v="BLI"/>
    <x v="3"/>
    <n v="12"/>
    <n v="750000"/>
    <n v="9000000"/>
    <n v="0.05"/>
    <x v="3"/>
    <s v="ACT-280-BLI-0110"/>
  </r>
  <r>
    <s v="TRX-2026-0111"/>
    <x v="86"/>
    <x v="3"/>
    <s v="PRD-005"/>
    <x v="5"/>
    <x v="1"/>
    <s v="TIK"/>
    <x v="1"/>
    <n v="13"/>
    <n v="5500000"/>
    <n v="71500000"/>
    <n v="0.15"/>
    <x v="3"/>
    <s v="ACT-546-TIK-0111"/>
  </r>
  <r>
    <s v="TRX-2026-0112"/>
    <x v="87"/>
    <x v="3"/>
    <s v="PRD-005"/>
    <x v="5"/>
    <x v="1"/>
    <s v="LAZ"/>
    <x v="4"/>
    <n v="14"/>
    <n v="5500000"/>
    <n v="77000000"/>
    <n v="0.05"/>
    <x v="0"/>
    <s v="ACT-385-LAZ-0112"/>
  </r>
  <r>
    <s v="TRX-2026-0113"/>
    <x v="25"/>
    <x v="7"/>
    <s v="PRD-004"/>
    <x v="1"/>
    <x v="1"/>
    <s v="BLI"/>
    <x v="3"/>
    <n v="10"/>
    <n v="2500000"/>
    <n v="25000000"/>
    <n v="0.15"/>
    <x v="0"/>
    <s v="ACT-129-BLI-0113"/>
  </r>
  <r>
    <s v="TRX-2026-0114"/>
    <x v="88"/>
    <x v="5"/>
    <s v="PRD-006"/>
    <x v="4"/>
    <x v="4"/>
    <s v="SHO"/>
    <x v="2"/>
    <n v="8"/>
    <n v="750000"/>
    <n v="6000000"/>
    <n v="0.05"/>
    <x v="0"/>
    <s v="ACT-916-SHO-0114"/>
  </r>
  <r>
    <s v="TRX-2026-0115"/>
    <x v="56"/>
    <x v="6"/>
    <s v="PRD-006"/>
    <x v="4"/>
    <x v="4"/>
    <s v="LAZ"/>
    <x v="4"/>
    <n v="15"/>
    <n v="750000"/>
    <n v="11250000"/>
    <n v="0.1"/>
    <x v="1"/>
    <s v="ACT-110-LAZ-0115"/>
  </r>
  <r>
    <s v="TRX-2026-0116"/>
    <x v="89"/>
    <x v="5"/>
    <s v="PRD-004"/>
    <x v="1"/>
    <x v="1"/>
    <s v="TOK"/>
    <x v="0"/>
    <n v="4"/>
    <n v="2500000"/>
    <n v="10000000"/>
    <n v="0.15"/>
    <x v="3"/>
    <s v="ACT-668-TOK-0116"/>
  </r>
  <r>
    <s v="TRX-2026-0117"/>
    <x v="90"/>
    <x v="3"/>
    <s v="PRD-004"/>
    <x v="1"/>
    <x v="1"/>
    <s v="BLI"/>
    <x v="3"/>
    <n v="11"/>
    <n v="2500000"/>
    <n v="27500000"/>
    <n v="0.15"/>
    <x v="3"/>
    <s v="ACT-911-BLI-0117"/>
  </r>
  <r>
    <s v="TRX-2026-0118"/>
    <x v="91"/>
    <x v="2"/>
    <s v="PRD-002"/>
    <x v="0"/>
    <x v="0"/>
    <s v="LAZ"/>
    <x v="4"/>
    <n v="4"/>
    <n v="3500000"/>
    <n v="14000000"/>
    <n v="0.15"/>
    <x v="2"/>
    <s v="ACT-349-LAZ-0118"/>
  </r>
  <r>
    <s v="TRX-2026-0119"/>
    <x v="92"/>
    <x v="6"/>
    <s v="PRD-006"/>
    <x v="4"/>
    <x v="4"/>
    <s v="BLI"/>
    <x v="3"/>
    <n v="9"/>
    <n v="750000"/>
    <n v="6750000"/>
    <n v="0.1"/>
    <x v="3"/>
    <s v="ACT-863-BLI-0119"/>
  </r>
  <r>
    <s v="TRX-2026-0120"/>
    <x v="93"/>
    <x v="5"/>
    <s v="PRD-006"/>
    <x v="4"/>
    <x v="4"/>
    <s v="LAZ"/>
    <x v="4"/>
    <n v="12"/>
    <n v="750000"/>
    <n v="9000000"/>
    <n v="0.15"/>
    <x v="0"/>
    <s v="ACT-413-LAZ-0120"/>
  </r>
  <r>
    <s v="TRX-2026-0121"/>
    <x v="45"/>
    <x v="6"/>
    <s v="PRD-004"/>
    <x v="1"/>
    <x v="1"/>
    <s v="TOK"/>
    <x v="0"/>
    <n v="12"/>
    <n v="2500000"/>
    <n v="30000000"/>
    <n v="0.05"/>
    <x v="0"/>
    <s v="ACT-222-TOK-0121"/>
  </r>
  <r>
    <s v="TRX-2026-0122"/>
    <x v="94"/>
    <x v="3"/>
    <s v="PRD-003"/>
    <x v="3"/>
    <x v="3"/>
    <s v="SHO"/>
    <x v="2"/>
    <n v="4"/>
    <n v="12000000"/>
    <n v="48000000"/>
    <n v="0.15"/>
    <x v="0"/>
    <s v="ACT-841-SHO-0122"/>
  </r>
  <r>
    <s v="TRX-2026-0123"/>
    <x v="26"/>
    <x v="5"/>
    <s v="PRD-005"/>
    <x v="5"/>
    <x v="1"/>
    <s v="TOK"/>
    <x v="0"/>
    <n v="14"/>
    <n v="5500000"/>
    <n v="77000000"/>
    <n v="0.05"/>
    <x v="0"/>
    <s v="ACT-332-TOK-0123"/>
  </r>
  <r>
    <s v="TRX-2026-0124"/>
    <x v="95"/>
    <x v="7"/>
    <s v="PRD-003"/>
    <x v="3"/>
    <x v="3"/>
    <s v="LAZ"/>
    <x v="4"/>
    <n v="1"/>
    <n v="12000000"/>
    <n v="12000000"/>
    <n v="0.05"/>
    <x v="0"/>
    <s v="ACT-146-LAZ-0124"/>
  </r>
  <r>
    <s v="TRX-2026-0125"/>
    <x v="96"/>
    <x v="2"/>
    <s v="PRD-005"/>
    <x v="5"/>
    <x v="1"/>
    <s v="SHO"/>
    <x v="2"/>
    <n v="11"/>
    <n v="5500000"/>
    <n v="60500000"/>
    <n v="0.15"/>
    <x v="0"/>
    <s v="ACT-993-SHO-0125"/>
  </r>
  <r>
    <s v="TRX-2026-0126"/>
    <x v="97"/>
    <x v="2"/>
    <s v="PRD-005"/>
    <x v="5"/>
    <x v="1"/>
    <s v="BLI"/>
    <x v="3"/>
    <n v="8"/>
    <n v="5500000"/>
    <n v="44000000"/>
    <n v="0.15"/>
    <x v="0"/>
    <s v="ACT-288-BLI-0126"/>
  </r>
  <r>
    <s v="TRX-2026-0127"/>
    <x v="96"/>
    <x v="2"/>
    <s v="PRD-005"/>
    <x v="5"/>
    <x v="1"/>
    <s v="BLI"/>
    <x v="3"/>
    <n v="2"/>
    <n v="5500000"/>
    <n v="11000000"/>
    <n v="0"/>
    <x v="3"/>
    <s v="ACT-603-BLI-0127"/>
  </r>
  <r>
    <s v="TRX-2026-0128"/>
    <x v="98"/>
    <x v="2"/>
    <s v="PRD-001"/>
    <x v="7"/>
    <x v="0"/>
    <s v="SHO"/>
    <x v="2"/>
    <n v="3"/>
    <n v="1500000"/>
    <n v="4500000"/>
    <n v="0.1"/>
    <x v="0"/>
    <s v="ACT-354-SHO-0128"/>
  </r>
  <r>
    <s v="TRX-2026-0129"/>
    <x v="99"/>
    <x v="2"/>
    <s v="PRD-007"/>
    <x v="2"/>
    <x v="2"/>
    <s v="TIK"/>
    <x v="1"/>
    <n v="10"/>
    <n v="2000000"/>
    <n v="20000000"/>
    <n v="0.05"/>
    <x v="1"/>
    <s v="ACT-489-TIK-0129"/>
  </r>
  <r>
    <s v="TRX-2026-0130"/>
    <x v="25"/>
    <x v="7"/>
    <s v="PRD-008"/>
    <x v="6"/>
    <x v="5"/>
    <s v="LAZ"/>
    <x v="4"/>
    <n v="14"/>
    <n v="4000000"/>
    <n v="56000000"/>
    <n v="0.15"/>
    <x v="0"/>
    <s v="ACT-682-LAZ-0130"/>
  </r>
  <r>
    <s v="TRX-2026-0131"/>
    <x v="100"/>
    <x v="0"/>
    <s v="PRD-001"/>
    <x v="7"/>
    <x v="0"/>
    <s v="TIK"/>
    <x v="1"/>
    <n v="12"/>
    <n v="1500000"/>
    <n v="18000000"/>
    <n v="0"/>
    <x v="0"/>
    <s v="ACT-740-TIK-0131"/>
  </r>
  <r>
    <s v="TRX-2026-0132"/>
    <x v="101"/>
    <x v="1"/>
    <s v="PRD-005"/>
    <x v="5"/>
    <x v="1"/>
    <s v="TOK"/>
    <x v="0"/>
    <n v="3"/>
    <n v="5500000"/>
    <n v="16500000"/>
    <n v="0.05"/>
    <x v="0"/>
    <s v="ACT-665-TOK-0132"/>
  </r>
  <r>
    <s v="TRX-2026-0133"/>
    <x v="33"/>
    <x v="2"/>
    <s v="PRD-003"/>
    <x v="3"/>
    <x v="3"/>
    <s v="TOK"/>
    <x v="0"/>
    <n v="7"/>
    <n v="12000000"/>
    <n v="84000000"/>
    <n v="0.15"/>
    <x v="2"/>
    <s v="ACT-708-TOK-0133"/>
  </r>
  <r>
    <s v="TRX-2026-0134"/>
    <x v="102"/>
    <x v="5"/>
    <s v="PRD-005"/>
    <x v="5"/>
    <x v="1"/>
    <s v="TOK"/>
    <x v="0"/>
    <n v="4"/>
    <n v="5500000"/>
    <n v="22000000"/>
    <n v="0.1"/>
    <x v="2"/>
    <s v="ACT-389-TOK-0134"/>
  </r>
  <r>
    <s v="TRX-2026-0135"/>
    <x v="103"/>
    <x v="0"/>
    <s v="PRD-008"/>
    <x v="6"/>
    <x v="5"/>
    <s v="TOK"/>
    <x v="0"/>
    <n v="11"/>
    <n v="4000000"/>
    <n v="44000000"/>
    <n v="0.05"/>
    <x v="0"/>
    <s v="ACT-906-TOK-0135"/>
  </r>
  <r>
    <s v="TRX-2026-0136"/>
    <x v="104"/>
    <x v="3"/>
    <s v="PRD-004"/>
    <x v="1"/>
    <x v="1"/>
    <s v="BLI"/>
    <x v="3"/>
    <n v="2"/>
    <n v="2500000"/>
    <n v="5000000"/>
    <n v="0.05"/>
    <x v="2"/>
    <s v="ACT-252-BLI-0136"/>
  </r>
  <r>
    <s v="TRX-2026-0137"/>
    <x v="105"/>
    <x v="6"/>
    <s v="PRD-003"/>
    <x v="3"/>
    <x v="3"/>
    <s v="TOK"/>
    <x v="0"/>
    <n v="1"/>
    <n v="12000000"/>
    <n v="12000000"/>
    <n v="0.05"/>
    <x v="0"/>
    <s v="ACT-709-TOK-0137"/>
  </r>
  <r>
    <s v="TRX-2026-0138"/>
    <x v="75"/>
    <x v="3"/>
    <s v="PRD-005"/>
    <x v="5"/>
    <x v="1"/>
    <s v="BLI"/>
    <x v="3"/>
    <n v="2"/>
    <n v="5500000"/>
    <n v="11000000"/>
    <n v="0.15"/>
    <x v="2"/>
    <s v="ACT-411-BLI-0138"/>
  </r>
  <r>
    <s v="TRX-2026-0139"/>
    <x v="103"/>
    <x v="0"/>
    <s v="PRD-007"/>
    <x v="2"/>
    <x v="2"/>
    <s v="LAZ"/>
    <x v="4"/>
    <n v="9"/>
    <n v="2000000"/>
    <n v="18000000"/>
    <n v="0.15"/>
    <x v="3"/>
    <s v="ACT-182-LAZ-0139"/>
  </r>
  <r>
    <s v="TRX-2026-0140"/>
    <x v="106"/>
    <x v="0"/>
    <s v="PRD-001"/>
    <x v="7"/>
    <x v="0"/>
    <s v="BLI"/>
    <x v="3"/>
    <n v="12"/>
    <n v="1500000"/>
    <n v="18000000"/>
    <n v="0.1"/>
    <x v="1"/>
    <s v="ACT-356-BLI-0140"/>
  </r>
  <r>
    <s v="TRX-2026-0141"/>
    <x v="107"/>
    <x v="2"/>
    <s v="PRD-002"/>
    <x v="0"/>
    <x v="0"/>
    <s v="SHO"/>
    <x v="2"/>
    <n v="11"/>
    <n v="3500000"/>
    <n v="38500000"/>
    <n v="0"/>
    <x v="2"/>
    <s v="ACT-941-SHO-0141"/>
  </r>
  <r>
    <s v="TRX-2026-0142"/>
    <x v="105"/>
    <x v="6"/>
    <s v="PRD-001"/>
    <x v="7"/>
    <x v="0"/>
    <s v="SHO"/>
    <x v="2"/>
    <n v="8"/>
    <n v="1500000"/>
    <n v="12000000"/>
    <n v="0.15"/>
    <x v="0"/>
    <s v="ACT-285-SHO-0142"/>
  </r>
  <r>
    <s v="TRX-2026-0143"/>
    <x v="108"/>
    <x v="5"/>
    <s v="PRD-007"/>
    <x v="2"/>
    <x v="2"/>
    <s v="BLI"/>
    <x v="3"/>
    <n v="2"/>
    <n v="2000000"/>
    <n v="4000000"/>
    <n v="0.15"/>
    <x v="0"/>
    <s v="ACT-518-BLI-0143"/>
  </r>
  <r>
    <s v="TRX-2026-0144"/>
    <x v="109"/>
    <x v="6"/>
    <s v="PRD-006"/>
    <x v="4"/>
    <x v="4"/>
    <s v="TOK"/>
    <x v="0"/>
    <n v="14"/>
    <n v="750000"/>
    <n v="10500000"/>
    <n v="0.05"/>
    <x v="0"/>
    <s v="ACT-521-TOK-0144"/>
  </r>
  <r>
    <s v="TRX-2026-0145"/>
    <x v="110"/>
    <x v="0"/>
    <s v="PRD-008"/>
    <x v="6"/>
    <x v="5"/>
    <s v="LAZ"/>
    <x v="4"/>
    <n v="11"/>
    <n v="4000000"/>
    <n v="44000000"/>
    <n v="0.15"/>
    <x v="1"/>
    <s v="ACT-137-LAZ-0145"/>
  </r>
  <r>
    <s v="TRX-2026-0146"/>
    <x v="19"/>
    <x v="7"/>
    <s v="PRD-002"/>
    <x v="0"/>
    <x v="0"/>
    <s v="LAZ"/>
    <x v="4"/>
    <n v="5"/>
    <n v="3500000"/>
    <n v="17500000"/>
    <n v="0.1"/>
    <x v="0"/>
    <s v="ACT-891-LAZ-0146"/>
  </r>
  <r>
    <s v="TRX-2026-0147"/>
    <x v="111"/>
    <x v="7"/>
    <s v="PRD-001"/>
    <x v="7"/>
    <x v="0"/>
    <s v="TIK"/>
    <x v="1"/>
    <n v="8"/>
    <n v="1500000"/>
    <n v="12000000"/>
    <n v="0.15"/>
    <x v="0"/>
    <s v="ACT-292-TIK-0147"/>
  </r>
  <r>
    <s v="TRX-2026-0148"/>
    <x v="89"/>
    <x v="5"/>
    <s v="PRD-006"/>
    <x v="4"/>
    <x v="4"/>
    <s v="TIK"/>
    <x v="1"/>
    <n v="13"/>
    <n v="750000"/>
    <n v="9750000"/>
    <n v="0.15"/>
    <x v="2"/>
    <s v="ACT-552-TIK-0148"/>
  </r>
  <r>
    <s v="TRX-2026-0149"/>
    <x v="90"/>
    <x v="3"/>
    <s v="PRD-001"/>
    <x v="7"/>
    <x v="0"/>
    <s v="SHO"/>
    <x v="2"/>
    <n v="5"/>
    <n v="1500000"/>
    <n v="7500000"/>
    <n v="0.05"/>
    <x v="0"/>
    <s v="ACT-548-SHO-0149"/>
  </r>
  <r>
    <s v="TRX-2026-0150"/>
    <x v="37"/>
    <x v="0"/>
    <s v="PRD-008"/>
    <x v="6"/>
    <x v="5"/>
    <s v="TOK"/>
    <x v="0"/>
    <n v="1"/>
    <n v="4000000"/>
    <n v="4000000"/>
    <n v="0.05"/>
    <x v="2"/>
    <s v="ACT-262-TOK-0150"/>
  </r>
  <r>
    <s v="TRX-2026-0151"/>
    <x v="112"/>
    <x v="6"/>
    <s v="PRD-001"/>
    <x v="7"/>
    <x v="0"/>
    <s v="TIK"/>
    <x v="1"/>
    <n v="7"/>
    <n v="1500000"/>
    <n v="10500000"/>
    <n v="0"/>
    <x v="0"/>
    <s v="ACT-961-TIK-0151"/>
  </r>
  <r>
    <s v="TRX-2026-0152"/>
    <x v="18"/>
    <x v="2"/>
    <s v="PRD-008"/>
    <x v="6"/>
    <x v="5"/>
    <s v="TOK"/>
    <x v="0"/>
    <n v="11"/>
    <n v="4000000"/>
    <n v="44000000"/>
    <n v="0.05"/>
    <x v="3"/>
    <s v="ACT-833-TOK-0152"/>
  </r>
  <r>
    <s v="TRX-2026-0153"/>
    <x v="113"/>
    <x v="6"/>
    <s v="PRD-005"/>
    <x v="5"/>
    <x v="1"/>
    <s v="BLI"/>
    <x v="3"/>
    <n v="14"/>
    <n v="5500000"/>
    <n v="77000000"/>
    <n v="0.15"/>
    <x v="3"/>
    <s v="ACT-349-BLI-0153"/>
  </r>
  <r>
    <s v="TRX-2026-0154"/>
    <x v="19"/>
    <x v="7"/>
    <s v="PRD-003"/>
    <x v="3"/>
    <x v="3"/>
    <s v="BLI"/>
    <x v="3"/>
    <n v="4"/>
    <n v="12000000"/>
    <n v="48000000"/>
    <n v="0.05"/>
    <x v="0"/>
    <s v="ACT-382-BLI-0154"/>
  </r>
  <r>
    <s v="TRX-2026-0155"/>
    <x v="83"/>
    <x v="3"/>
    <s v="PRD-007"/>
    <x v="2"/>
    <x v="2"/>
    <s v="LAZ"/>
    <x v="4"/>
    <n v="15"/>
    <n v="2000000"/>
    <n v="30000000"/>
    <n v="0.1"/>
    <x v="0"/>
    <s v="ACT-389-LAZ-0155"/>
  </r>
  <r>
    <s v="TRX-2026-0156"/>
    <x v="114"/>
    <x v="3"/>
    <s v="PRD-005"/>
    <x v="5"/>
    <x v="1"/>
    <s v="TIK"/>
    <x v="1"/>
    <n v="10"/>
    <n v="5500000"/>
    <n v="55000000"/>
    <n v="0.15"/>
    <x v="0"/>
    <s v="ACT-557-TIK-0156"/>
  </r>
  <r>
    <s v="TRX-2026-0157"/>
    <x v="7"/>
    <x v="5"/>
    <s v="PRD-008"/>
    <x v="6"/>
    <x v="5"/>
    <s v="LAZ"/>
    <x v="4"/>
    <n v="6"/>
    <n v="4000000"/>
    <n v="24000000"/>
    <n v="0.15"/>
    <x v="3"/>
    <s v="ACT-429-LAZ-0157"/>
  </r>
  <r>
    <s v="TRX-2026-0158"/>
    <x v="58"/>
    <x v="1"/>
    <s v="PRD-004"/>
    <x v="1"/>
    <x v="1"/>
    <s v="TIK"/>
    <x v="1"/>
    <n v="7"/>
    <n v="2500000"/>
    <n v="17500000"/>
    <n v="0.05"/>
    <x v="3"/>
    <s v="ACT-144-TIK-0158"/>
  </r>
  <r>
    <s v="TRX-2026-0159"/>
    <x v="115"/>
    <x v="6"/>
    <s v="PRD-008"/>
    <x v="6"/>
    <x v="5"/>
    <s v="BLI"/>
    <x v="3"/>
    <n v="7"/>
    <n v="4000000"/>
    <n v="28000000"/>
    <n v="0.05"/>
    <x v="3"/>
    <s v="ACT-137-BLI-0159"/>
  </r>
  <r>
    <s v="TRX-2026-0160"/>
    <x v="116"/>
    <x v="1"/>
    <s v="PRD-006"/>
    <x v="4"/>
    <x v="4"/>
    <s v="TOK"/>
    <x v="0"/>
    <n v="14"/>
    <n v="750000"/>
    <n v="10500000"/>
    <n v="0.15"/>
    <x v="0"/>
    <s v="ACT-638-TOK-0160"/>
  </r>
  <r>
    <s v="TRX-2026-0161"/>
    <x v="19"/>
    <x v="7"/>
    <s v="PRD-001"/>
    <x v="7"/>
    <x v="0"/>
    <s v="SHO"/>
    <x v="2"/>
    <n v="7"/>
    <n v="1500000"/>
    <n v="10500000"/>
    <n v="0.05"/>
    <x v="0"/>
    <s v="ACT-580-SHO-0161"/>
  </r>
  <r>
    <s v="TRX-2026-0162"/>
    <x v="117"/>
    <x v="3"/>
    <s v="PRD-005"/>
    <x v="5"/>
    <x v="1"/>
    <s v="LAZ"/>
    <x v="4"/>
    <n v="10"/>
    <n v="5500000"/>
    <n v="55000000"/>
    <n v="0.15"/>
    <x v="2"/>
    <s v="ACT-182-LAZ-0162"/>
  </r>
  <r>
    <s v="TRX-2026-0163"/>
    <x v="118"/>
    <x v="4"/>
    <s v="PRD-006"/>
    <x v="4"/>
    <x v="4"/>
    <s v="TIK"/>
    <x v="1"/>
    <n v="7"/>
    <n v="750000"/>
    <n v="5250000"/>
    <n v="0.1"/>
    <x v="2"/>
    <s v="ACT-835-TIK-0163"/>
  </r>
  <r>
    <s v="TRX-2026-0164"/>
    <x v="90"/>
    <x v="3"/>
    <s v="PRD-008"/>
    <x v="6"/>
    <x v="5"/>
    <s v="TIK"/>
    <x v="1"/>
    <n v="1"/>
    <n v="4000000"/>
    <n v="4000000"/>
    <n v="0"/>
    <x v="0"/>
    <s v="ACT-746-TIK-0164"/>
  </r>
  <r>
    <s v="TRX-2026-0165"/>
    <x v="119"/>
    <x v="0"/>
    <s v="PRD-005"/>
    <x v="5"/>
    <x v="1"/>
    <s v="SHO"/>
    <x v="2"/>
    <n v="12"/>
    <n v="5500000"/>
    <n v="66000000"/>
    <n v="0"/>
    <x v="3"/>
    <s v="ACT-200-SHO-0165"/>
  </r>
  <r>
    <s v="TRX-2026-0166"/>
    <x v="90"/>
    <x v="3"/>
    <s v="PRD-002"/>
    <x v="0"/>
    <x v="0"/>
    <s v="BLI"/>
    <x v="3"/>
    <n v="3"/>
    <n v="3500000"/>
    <n v="10500000"/>
    <n v="0.1"/>
    <x v="0"/>
    <s v="ACT-147-BLI-0166"/>
  </r>
  <r>
    <s v="TRX-2026-0167"/>
    <x v="120"/>
    <x v="6"/>
    <s v="PRD-001"/>
    <x v="7"/>
    <x v="0"/>
    <s v="LAZ"/>
    <x v="4"/>
    <n v="6"/>
    <n v="1500000"/>
    <n v="9000000"/>
    <n v="0.1"/>
    <x v="3"/>
    <s v="ACT-249-LAZ-0167"/>
  </r>
  <r>
    <s v="TRX-2026-0168"/>
    <x v="12"/>
    <x v="6"/>
    <s v="PRD-007"/>
    <x v="2"/>
    <x v="2"/>
    <s v="TIK"/>
    <x v="1"/>
    <n v="11"/>
    <n v="2000000"/>
    <n v="22000000"/>
    <n v="0.05"/>
    <x v="0"/>
    <s v="ACT-279-TIK-0168"/>
  </r>
  <r>
    <s v="TRX-2026-0169"/>
    <x v="121"/>
    <x v="2"/>
    <s v="PRD-007"/>
    <x v="2"/>
    <x v="2"/>
    <s v="TIK"/>
    <x v="1"/>
    <n v="11"/>
    <n v="2000000"/>
    <n v="22000000"/>
    <n v="0.05"/>
    <x v="3"/>
    <s v="ACT-697-TIK-0169"/>
  </r>
  <r>
    <s v="TRX-2026-0170"/>
    <x v="122"/>
    <x v="1"/>
    <s v="PRD-004"/>
    <x v="1"/>
    <x v="1"/>
    <s v="BLI"/>
    <x v="3"/>
    <n v="11"/>
    <n v="2500000"/>
    <n v="27500000"/>
    <n v="0.1"/>
    <x v="3"/>
    <s v="ACT-361-BLI-0170"/>
  </r>
  <r>
    <s v="TRX-2026-0171"/>
    <x v="60"/>
    <x v="0"/>
    <s v="PRD-001"/>
    <x v="7"/>
    <x v="0"/>
    <s v="BLI"/>
    <x v="3"/>
    <n v="15"/>
    <n v="1500000"/>
    <n v="22500000"/>
    <n v="0.1"/>
    <x v="2"/>
    <s v="ACT-659-BLI-0171"/>
  </r>
  <r>
    <s v="TRX-2026-0172"/>
    <x v="42"/>
    <x v="1"/>
    <s v="PRD-002"/>
    <x v="0"/>
    <x v="0"/>
    <s v="BLI"/>
    <x v="3"/>
    <n v="6"/>
    <n v="3500000"/>
    <n v="21000000"/>
    <n v="0.1"/>
    <x v="2"/>
    <s v="ACT-534-BLI-0172"/>
  </r>
  <r>
    <s v="TRX-2026-0173"/>
    <x v="123"/>
    <x v="0"/>
    <s v="PRD-005"/>
    <x v="5"/>
    <x v="1"/>
    <s v="BLI"/>
    <x v="3"/>
    <n v="14"/>
    <n v="5500000"/>
    <n v="77000000"/>
    <n v="0.1"/>
    <x v="0"/>
    <s v="ACT-493-BLI-0173"/>
  </r>
  <r>
    <s v="TRX-2026-0174"/>
    <x v="118"/>
    <x v="4"/>
    <s v="PRD-008"/>
    <x v="6"/>
    <x v="5"/>
    <s v="TOK"/>
    <x v="0"/>
    <n v="4"/>
    <n v="4000000"/>
    <n v="16000000"/>
    <n v="0.15"/>
    <x v="1"/>
    <s v="ACT-467-TOK-0174"/>
  </r>
  <r>
    <s v="TRX-2026-0175"/>
    <x v="124"/>
    <x v="5"/>
    <s v="PRD-005"/>
    <x v="5"/>
    <x v="1"/>
    <s v="LAZ"/>
    <x v="4"/>
    <n v="1"/>
    <n v="5500000"/>
    <n v="5500000"/>
    <n v="0.15"/>
    <x v="0"/>
    <s v="ACT-108-LAZ-0175"/>
  </r>
  <r>
    <s v="TRX-2026-0176"/>
    <x v="40"/>
    <x v="5"/>
    <s v="PRD-001"/>
    <x v="7"/>
    <x v="0"/>
    <s v="TIK"/>
    <x v="1"/>
    <n v="12"/>
    <n v="1500000"/>
    <n v="18000000"/>
    <n v="0.15"/>
    <x v="0"/>
    <s v="ACT-894-TIK-0176"/>
  </r>
  <r>
    <s v="TRX-2026-0177"/>
    <x v="32"/>
    <x v="3"/>
    <s v="PRD-004"/>
    <x v="1"/>
    <x v="1"/>
    <s v="TIK"/>
    <x v="1"/>
    <n v="13"/>
    <n v="2500000"/>
    <n v="32500000"/>
    <n v="0.1"/>
    <x v="0"/>
    <s v="ACT-751-TIK-0177"/>
  </r>
  <r>
    <s v="TRX-2026-0178"/>
    <x v="58"/>
    <x v="1"/>
    <s v="PRD-005"/>
    <x v="5"/>
    <x v="1"/>
    <s v="SHO"/>
    <x v="2"/>
    <n v="11"/>
    <n v="5500000"/>
    <n v="60500000"/>
    <n v="0"/>
    <x v="2"/>
    <s v="ACT-761-SHO-0178"/>
  </r>
  <r>
    <s v="TRX-2026-0179"/>
    <x v="49"/>
    <x v="2"/>
    <s v="PRD-005"/>
    <x v="5"/>
    <x v="1"/>
    <s v="BLI"/>
    <x v="3"/>
    <n v="1"/>
    <n v="5500000"/>
    <n v="5500000"/>
    <n v="0.1"/>
    <x v="2"/>
    <s v="ACT-234-BLI-0179"/>
  </r>
  <r>
    <s v="TRX-2026-0180"/>
    <x v="2"/>
    <x v="2"/>
    <s v="PRD-005"/>
    <x v="5"/>
    <x v="1"/>
    <s v="LAZ"/>
    <x v="4"/>
    <n v="12"/>
    <n v="5500000"/>
    <n v="66000000"/>
    <n v="0.15"/>
    <x v="0"/>
    <s v="ACT-305-LAZ-0180"/>
  </r>
  <r>
    <s v="TRX-2026-0181"/>
    <x v="29"/>
    <x v="1"/>
    <s v="PRD-006"/>
    <x v="4"/>
    <x v="4"/>
    <s v="TIK"/>
    <x v="1"/>
    <n v="9"/>
    <n v="750000"/>
    <n v="6750000"/>
    <n v="0.1"/>
    <x v="0"/>
    <s v="ACT-363-TIK-0181"/>
  </r>
  <r>
    <s v="TRX-2026-0182"/>
    <x v="87"/>
    <x v="3"/>
    <s v="PRD-008"/>
    <x v="6"/>
    <x v="5"/>
    <s v="LAZ"/>
    <x v="4"/>
    <n v="12"/>
    <n v="4000000"/>
    <n v="48000000"/>
    <n v="0.1"/>
    <x v="0"/>
    <s v="ACT-579-LAZ-0182"/>
  </r>
  <r>
    <s v="TRX-2026-0183"/>
    <x v="33"/>
    <x v="2"/>
    <s v="PRD-003"/>
    <x v="3"/>
    <x v="3"/>
    <s v="SHO"/>
    <x v="2"/>
    <n v="14"/>
    <n v="12000000"/>
    <n v="168000000"/>
    <n v="0.15"/>
    <x v="1"/>
    <s v="ACT-474-SHO-0183"/>
  </r>
  <r>
    <s v="TRX-2026-0184"/>
    <x v="2"/>
    <x v="2"/>
    <s v="PRD-007"/>
    <x v="2"/>
    <x v="2"/>
    <s v="TOK"/>
    <x v="0"/>
    <n v="5"/>
    <n v="2000000"/>
    <n v="10000000"/>
    <n v="0"/>
    <x v="3"/>
    <s v="ACT-477-TOK-0184"/>
  </r>
  <r>
    <s v="TRX-2026-0185"/>
    <x v="125"/>
    <x v="0"/>
    <s v="PRD-005"/>
    <x v="5"/>
    <x v="1"/>
    <s v="TIK"/>
    <x v="1"/>
    <n v="7"/>
    <n v="5500000"/>
    <n v="38500000"/>
    <n v="0.1"/>
    <x v="0"/>
    <s v="ACT-791-TIK-0185"/>
  </r>
  <r>
    <s v="TRX-2026-0186"/>
    <x v="126"/>
    <x v="6"/>
    <s v="PRD-008"/>
    <x v="6"/>
    <x v="5"/>
    <s v="TOK"/>
    <x v="0"/>
    <n v="10"/>
    <n v="4000000"/>
    <n v="40000000"/>
    <n v="0.1"/>
    <x v="1"/>
    <s v="ACT-326-TOK-0186"/>
  </r>
  <r>
    <s v="TRX-2026-0187"/>
    <x v="84"/>
    <x v="0"/>
    <s v="PRD-002"/>
    <x v="0"/>
    <x v="0"/>
    <s v="BLI"/>
    <x v="3"/>
    <n v="15"/>
    <n v="3500000"/>
    <n v="52500000"/>
    <n v="0.1"/>
    <x v="2"/>
    <s v="ACT-518-BLI-0187"/>
  </r>
  <r>
    <s v="TRX-2026-0188"/>
    <x v="18"/>
    <x v="2"/>
    <s v="PRD-003"/>
    <x v="3"/>
    <x v="3"/>
    <s v="TOK"/>
    <x v="0"/>
    <n v="1"/>
    <n v="12000000"/>
    <n v="12000000"/>
    <n v="0.1"/>
    <x v="3"/>
    <s v="ACT-218-TOK-0188"/>
  </r>
  <r>
    <s v="TRX-2026-0189"/>
    <x v="30"/>
    <x v="2"/>
    <s v="PRD-004"/>
    <x v="1"/>
    <x v="1"/>
    <s v="TIK"/>
    <x v="1"/>
    <n v="3"/>
    <n v="2500000"/>
    <n v="7500000"/>
    <n v="0.15"/>
    <x v="3"/>
    <s v="ACT-479-TIK-0189"/>
  </r>
  <r>
    <s v="TRX-2026-0190"/>
    <x v="11"/>
    <x v="0"/>
    <s v="PRD-007"/>
    <x v="2"/>
    <x v="2"/>
    <s v="TIK"/>
    <x v="1"/>
    <n v="12"/>
    <n v="2000000"/>
    <n v="24000000"/>
    <n v="0.05"/>
    <x v="3"/>
    <s v="ACT-770-TIK-0190"/>
  </r>
  <r>
    <s v="TRX-2026-0191"/>
    <x v="127"/>
    <x v="2"/>
    <s v="PRD-008"/>
    <x v="6"/>
    <x v="5"/>
    <s v="TIK"/>
    <x v="1"/>
    <n v="7"/>
    <n v="4000000"/>
    <n v="28000000"/>
    <n v="0.1"/>
    <x v="0"/>
    <s v="ACT-806-TIK-0191"/>
  </r>
  <r>
    <s v="TRX-2026-0192"/>
    <x v="128"/>
    <x v="7"/>
    <s v="PRD-004"/>
    <x v="1"/>
    <x v="1"/>
    <s v="BLI"/>
    <x v="3"/>
    <n v="8"/>
    <n v="2500000"/>
    <n v="20000000"/>
    <n v="0.05"/>
    <x v="0"/>
    <s v="ACT-201-BLI-0192"/>
  </r>
  <r>
    <s v="TRX-2026-0193"/>
    <x v="119"/>
    <x v="0"/>
    <s v="PRD-006"/>
    <x v="4"/>
    <x v="4"/>
    <s v="TIK"/>
    <x v="1"/>
    <n v="15"/>
    <n v="750000"/>
    <n v="11250000"/>
    <n v="0.1"/>
    <x v="0"/>
    <s v="ACT-507-TIK-0193"/>
  </r>
  <r>
    <s v="TRX-2026-0194"/>
    <x v="129"/>
    <x v="6"/>
    <s v="PRD-004"/>
    <x v="1"/>
    <x v="1"/>
    <s v="TOK"/>
    <x v="0"/>
    <n v="14"/>
    <n v="2500000"/>
    <n v="35000000"/>
    <n v="0.15"/>
    <x v="0"/>
    <s v="ACT-778-TOK-0194"/>
  </r>
  <r>
    <s v="TRX-2026-0195"/>
    <x v="101"/>
    <x v="1"/>
    <s v="PRD-001"/>
    <x v="7"/>
    <x v="0"/>
    <s v="TOK"/>
    <x v="0"/>
    <n v="13"/>
    <n v="1500000"/>
    <n v="19500000"/>
    <n v="0.1"/>
    <x v="0"/>
    <s v="ACT-228-TOK-0195"/>
  </r>
  <r>
    <s v="TRX-2026-0196"/>
    <x v="53"/>
    <x v="3"/>
    <s v="PRD-004"/>
    <x v="1"/>
    <x v="1"/>
    <s v="TOK"/>
    <x v="0"/>
    <n v="14"/>
    <n v="2500000"/>
    <n v="35000000"/>
    <n v="0.05"/>
    <x v="1"/>
    <s v="ACT-321-TOK-0196"/>
  </r>
  <r>
    <s v="TRX-2026-0197"/>
    <x v="22"/>
    <x v="3"/>
    <s v="PRD-004"/>
    <x v="1"/>
    <x v="1"/>
    <s v="LAZ"/>
    <x v="4"/>
    <n v="13"/>
    <n v="2500000"/>
    <n v="32500000"/>
    <n v="0.05"/>
    <x v="1"/>
    <s v="ACT-102-LAZ-0197"/>
  </r>
  <r>
    <s v="TRX-2026-0198"/>
    <x v="129"/>
    <x v="6"/>
    <s v="PRD-003"/>
    <x v="3"/>
    <x v="3"/>
    <s v="SHO"/>
    <x v="2"/>
    <n v="9"/>
    <n v="12000000"/>
    <n v="108000000"/>
    <n v="0.1"/>
    <x v="0"/>
    <s v="ACT-212-SHO-0198"/>
  </r>
  <r>
    <s v="TRX-2026-0199"/>
    <x v="130"/>
    <x v="0"/>
    <s v="PRD-001"/>
    <x v="7"/>
    <x v="0"/>
    <s v="SHO"/>
    <x v="2"/>
    <n v="1"/>
    <n v="1500000"/>
    <n v="1500000"/>
    <n v="0.1"/>
    <x v="0"/>
    <s v="ACT-702-SHO-0199"/>
  </r>
  <r>
    <s v="TRX-2026-0200"/>
    <x v="131"/>
    <x v="6"/>
    <s v="PRD-001"/>
    <x v="7"/>
    <x v="0"/>
    <s v="SHO"/>
    <x v="2"/>
    <n v="5"/>
    <n v="1500000"/>
    <n v="7500000"/>
    <n v="0"/>
    <x v="0"/>
    <s v="ACT-859-SHO-0200"/>
  </r>
  <r>
    <s v="TRX-2026-0201"/>
    <x v="132"/>
    <x v="7"/>
    <s v="PRD-002"/>
    <x v="0"/>
    <x v="0"/>
    <s v="TOK"/>
    <x v="0"/>
    <n v="8"/>
    <n v="3500000"/>
    <n v="28000000"/>
    <n v="0.15"/>
    <x v="0"/>
    <s v="ACT-625-TOK-0201"/>
  </r>
  <r>
    <s v="TRX-2026-0202"/>
    <x v="133"/>
    <x v="0"/>
    <s v="PRD-002"/>
    <x v="0"/>
    <x v="0"/>
    <s v="BLI"/>
    <x v="3"/>
    <n v="9"/>
    <n v="3500000"/>
    <n v="31500000"/>
    <n v="0.05"/>
    <x v="1"/>
    <s v="ACT-144-BLI-0202"/>
  </r>
  <r>
    <s v="TRX-2026-0203"/>
    <x v="31"/>
    <x v="3"/>
    <s v="PRD-005"/>
    <x v="5"/>
    <x v="1"/>
    <s v="BLI"/>
    <x v="3"/>
    <n v="11"/>
    <n v="5500000"/>
    <n v="60500000"/>
    <n v="0"/>
    <x v="0"/>
    <s v="ACT-590-BLI-0203"/>
  </r>
  <r>
    <s v="TRX-2026-0204"/>
    <x v="6"/>
    <x v="4"/>
    <s v="PRD-007"/>
    <x v="2"/>
    <x v="2"/>
    <s v="BLI"/>
    <x v="3"/>
    <n v="11"/>
    <n v="2000000"/>
    <n v="22000000"/>
    <n v="0"/>
    <x v="3"/>
    <s v="ACT-829-BLI-0204"/>
  </r>
  <r>
    <s v="TRX-2026-0205"/>
    <x v="47"/>
    <x v="7"/>
    <s v="PRD-002"/>
    <x v="0"/>
    <x v="0"/>
    <s v="TOK"/>
    <x v="0"/>
    <n v="6"/>
    <n v="3500000"/>
    <n v="21000000"/>
    <n v="0.05"/>
    <x v="0"/>
    <s v="ACT-229-TOK-0205"/>
  </r>
  <r>
    <s v="TRX-2026-0206"/>
    <x v="129"/>
    <x v="6"/>
    <s v="PRD-006"/>
    <x v="4"/>
    <x v="4"/>
    <s v="BLI"/>
    <x v="3"/>
    <n v="10"/>
    <n v="750000"/>
    <n v="7500000"/>
    <n v="0.1"/>
    <x v="3"/>
    <s v="ACT-617-BLI-0206"/>
  </r>
  <r>
    <s v="TRX-2026-0207"/>
    <x v="134"/>
    <x v="0"/>
    <s v="PRD-007"/>
    <x v="2"/>
    <x v="2"/>
    <s v="TOK"/>
    <x v="0"/>
    <n v="13"/>
    <n v="2000000"/>
    <n v="26000000"/>
    <n v="0"/>
    <x v="2"/>
    <s v="ACT-766-TOK-0207"/>
  </r>
  <r>
    <s v="TRX-2026-0208"/>
    <x v="70"/>
    <x v="3"/>
    <s v="PRD-004"/>
    <x v="1"/>
    <x v="1"/>
    <s v="BLI"/>
    <x v="3"/>
    <n v="8"/>
    <n v="2500000"/>
    <n v="20000000"/>
    <n v="0.05"/>
    <x v="3"/>
    <s v="ACT-447-BLI-0208"/>
  </r>
  <r>
    <s v="TRX-2026-0209"/>
    <x v="87"/>
    <x v="3"/>
    <s v="PRD-008"/>
    <x v="6"/>
    <x v="5"/>
    <s v="BLI"/>
    <x v="3"/>
    <n v="7"/>
    <n v="4000000"/>
    <n v="28000000"/>
    <n v="0"/>
    <x v="0"/>
    <s v="ACT-537-BLI-0209"/>
  </r>
  <r>
    <s v="TRX-2026-0210"/>
    <x v="135"/>
    <x v="6"/>
    <s v="PRD-005"/>
    <x v="5"/>
    <x v="1"/>
    <s v="LAZ"/>
    <x v="4"/>
    <n v="3"/>
    <n v="5500000"/>
    <n v="16500000"/>
    <n v="0.15"/>
    <x v="0"/>
    <s v="ACT-193-LAZ-0210"/>
  </r>
  <r>
    <s v="TRX-2026-0211"/>
    <x v="78"/>
    <x v="4"/>
    <s v="PRD-002"/>
    <x v="0"/>
    <x v="0"/>
    <s v="TOK"/>
    <x v="0"/>
    <n v="7"/>
    <n v="3500000"/>
    <n v="24500000"/>
    <n v="0"/>
    <x v="2"/>
    <s v="ACT-856-TOK-0211"/>
  </r>
  <r>
    <s v="TRX-2026-0212"/>
    <x v="136"/>
    <x v="7"/>
    <s v="PRD-003"/>
    <x v="3"/>
    <x v="3"/>
    <s v="TIK"/>
    <x v="1"/>
    <n v="1"/>
    <n v="12000000"/>
    <n v="12000000"/>
    <n v="0.1"/>
    <x v="2"/>
    <s v="ACT-225-TIK-0212"/>
  </r>
  <r>
    <s v="TRX-2026-0213"/>
    <x v="137"/>
    <x v="7"/>
    <s v="PRD-006"/>
    <x v="4"/>
    <x v="4"/>
    <s v="BLI"/>
    <x v="3"/>
    <n v="14"/>
    <n v="750000"/>
    <n v="10500000"/>
    <n v="0"/>
    <x v="0"/>
    <s v="ACT-714-BLI-0213"/>
  </r>
  <r>
    <s v="TRX-2026-0214"/>
    <x v="112"/>
    <x v="6"/>
    <s v="PRD-006"/>
    <x v="4"/>
    <x v="4"/>
    <s v="TOK"/>
    <x v="0"/>
    <n v="10"/>
    <n v="750000"/>
    <n v="7500000"/>
    <n v="0.05"/>
    <x v="0"/>
    <s v="ACT-772-TOK-0214"/>
  </r>
  <r>
    <s v="TRX-2026-0215"/>
    <x v="138"/>
    <x v="5"/>
    <s v="PRD-004"/>
    <x v="1"/>
    <x v="1"/>
    <s v="TOK"/>
    <x v="0"/>
    <n v="6"/>
    <n v="2500000"/>
    <n v="15000000"/>
    <n v="0.1"/>
    <x v="0"/>
    <s v="ACT-880-TOK-0215"/>
  </r>
  <r>
    <s v="TRX-2026-0216"/>
    <x v="10"/>
    <x v="6"/>
    <s v="PRD-004"/>
    <x v="1"/>
    <x v="1"/>
    <s v="BLI"/>
    <x v="3"/>
    <n v="14"/>
    <n v="2500000"/>
    <n v="35000000"/>
    <n v="0"/>
    <x v="1"/>
    <s v="ACT-773-BLI-0216"/>
  </r>
  <r>
    <s v="TRX-2026-0217"/>
    <x v="78"/>
    <x v="4"/>
    <s v="PRD-005"/>
    <x v="5"/>
    <x v="1"/>
    <s v="TOK"/>
    <x v="0"/>
    <n v="3"/>
    <n v="5500000"/>
    <n v="16500000"/>
    <n v="0.1"/>
    <x v="2"/>
    <s v="ACT-880-TOK-0217"/>
  </r>
  <r>
    <s v="TRX-2026-0218"/>
    <x v="112"/>
    <x v="6"/>
    <s v="PRD-006"/>
    <x v="4"/>
    <x v="4"/>
    <s v="LAZ"/>
    <x v="4"/>
    <n v="1"/>
    <n v="750000"/>
    <n v="750000"/>
    <n v="0.05"/>
    <x v="0"/>
    <s v="ACT-679-LAZ-0218"/>
  </r>
  <r>
    <s v="TRX-2026-0219"/>
    <x v="55"/>
    <x v="0"/>
    <s v="PRD-007"/>
    <x v="2"/>
    <x v="2"/>
    <s v="TOK"/>
    <x v="0"/>
    <n v="3"/>
    <n v="2000000"/>
    <n v="6000000"/>
    <n v="0"/>
    <x v="0"/>
    <s v="ACT-864-TOK-0219"/>
  </r>
  <r>
    <s v="TRX-2026-0220"/>
    <x v="139"/>
    <x v="5"/>
    <s v="PRD-004"/>
    <x v="1"/>
    <x v="1"/>
    <s v="BLI"/>
    <x v="3"/>
    <n v="7"/>
    <n v="2500000"/>
    <n v="17500000"/>
    <n v="0.15"/>
    <x v="0"/>
    <s v="ACT-261-BLI-0220"/>
  </r>
  <r>
    <s v="TRX-2026-0221"/>
    <x v="128"/>
    <x v="7"/>
    <s v="PRD-005"/>
    <x v="5"/>
    <x v="1"/>
    <s v="LAZ"/>
    <x v="4"/>
    <n v="13"/>
    <n v="5500000"/>
    <n v="71500000"/>
    <n v="0"/>
    <x v="0"/>
    <s v="ACT-259-LAZ-0221"/>
  </r>
  <r>
    <s v="TRX-2026-0222"/>
    <x v="42"/>
    <x v="1"/>
    <s v="PRD-001"/>
    <x v="7"/>
    <x v="0"/>
    <s v="TOK"/>
    <x v="0"/>
    <n v="5"/>
    <n v="1500000"/>
    <n v="7500000"/>
    <n v="0.15"/>
    <x v="2"/>
    <s v="ACT-534-TOK-0222"/>
  </r>
  <r>
    <s v="TRX-2026-0223"/>
    <x v="35"/>
    <x v="5"/>
    <s v="PRD-008"/>
    <x v="6"/>
    <x v="5"/>
    <s v="BLI"/>
    <x v="3"/>
    <n v="5"/>
    <n v="4000000"/>
    <n v="20000000"/>
    <n v="0.05"/>
    <x v="1"/>
    <s v="ACT-216-BLI-0223"/>
  </r>
  <r>
    <s v="TRX-2026-0224"/>
    <x v="140"/>
    <x v="6"/>
    <s v="PRD-007"/>
    <x v="2"/>
    <x v="2"/>
    <s v="TOK"/>
    <x v="0"/>
    <n v="5"/>
    <n v="2000000"/>
    <n v="10000000"/>
    <n v="0.15"/>
    <x v="1"/>
    <s v="ACT-783-TOK-0224"/>
  </r>
  <r>
    <s v="TRX-2026-0225"/>
    <x v="92"/>
    <x v="6"/>
    <s v="PRD-001"/>
    <x v="7"/>
    <x v="0"/>
    <s v="SHO"/>
    <x v="2"/>
    <n v="7"/>
    <n v="1500000"/>
    <n v="10500000"/>
    <n v="0"/>
    <x v="0"/>
    <s v="ACT-309-SHO-0225"/>
  </r>
  <r>
    <s v="TRX-2026-0226"/>
    <x v="62"/>
    <x v="6"/>
    <s v="PRD-004"/>
    <x v="1"/>
    <x v="1"/>
    <s v="SHO"/>
    <x v="2"/>
    <n v="13"/>
    <n v="2500000"/>
    <n v="32500000"/>
    <n v="0.1"/>
    <x v="0"/>
    <s v="ACT-435-SHO-0226"/>
  </r>
  <r>
    <s v="TRX-2026-0227"/>
    <x v="99"/>
    <x v="2"/>
    <s v="PRD-001"/>
    <x v="7"/>
    <x v="0"/>
    <s v="BLI"/>
    <x v="3"/>
    <n v="12"/>
    <n v="1500000"/>
    <n v="18000000"/>
    <n v="0.15"/>
    <x v="0"/>
    <s v="ACT-232-BLI-0227"/>
  </r>
  <r>
    <s v="TRX-2026-0228"/>
    <x v="36"/>
    <x v="7"/>
    <s v="PRD-004"/>
    <x v="1"/>
    <x v="1"/>
    <s v="TIK"/>
    <x v="1"/>
    <n v="9"/>
    <n v="2500000"/>
    <n v="22500000"/>
    <n v="0.1"/>
    <x v="0"/>
    <s v="ACT-506-TIK-0228"/>
  </r>
  <r>
    <s v="TRX-2026-0229"/>
    <x v="8"/>
    <x v="4"/>
    <s v="PRD-001"/>
    <x v="7"/>
    <x v="0"/>
    <s v="BLI"/>
    <x v="3"/>
    <n v="1"/>
    <n v="1500000"/>
    <n v="1500000"/>
    <n v="0.15"/>
    <x v="0"/>
    <s v="ACT-982-BLI-0229"/>
  </r>
  <r>
    <s v="TRX-2026-0230"/>
    <x v="135"/>
    <x v="6"/>
    <s v="PRD-007"/>
    <x v="2"/>
    <x v="2"/>
    <s v="TIK"/>
    <x v="1"/>
    <n v="7"/>
    <n v="2000000"/>
    <n v="14000000"/>
    <n v="0.15"/>
    <x v="0"/>
    <s v="ACT-217-TIK-0230"/>
  </r>
  <r>
    <s v="TRX-2026-0231"/>
    <x v="111"/>
    <x v="7"/>
    <s v="PRD-001"/>
    <x v="7"/>
    <x v="0"/>
    <s v="LAZ"/>
    <x v="4"/>
    <n v="3"/>
    <n v="1500000"/>
    <n v="4500000"/>
    <n v="0.15"/>
    <x v="2"/>
    <s v="ACT-470-LAZ-0231"/>
  </r>
  <r>
    <s v="TRX-2026-0232"/>
    <x v="141"/>
    <x v="2"/>
    <s v="PRD-007"/>
    <x v="2"/>
    <x v="2"/>
    <s v="TOK"/>
    <x v="0"/>
    <n v="4"/>
    <n v="2000000"/>
    <n v="8000000"/>
    <n v="0.15"/>
    <x v="1"/>
    <s v="ACT-510-TOK-0232"/>
  </r>
  <r>
    <s v="TRX-2026-0233"/>
    <x v="142"/>
    <x v="5"/>
    <s v="PRD-002"/>
    <x v="0"/>
    <x v="0"/>
    <s v="BLI"/>
    <x v="3"/>
    <n v="14"/>
    <n v="3500000"/>
    <n v="49000000"/>
    <n v="0.1"/>
    <x v="2"/>
    <s v="ACT-447-BLI-0233"/>
  </r>
  <r>
    <s v="TRX-2026-0234"/>
    <x v="143"/>
    <x v="1"/>
    <s v="PRD-006"/>
    <x v="4"/>
    <x v="4"/>
    <s v="SHO"/>
    <x v="2"/>
    <n v="2"/>
    <n v="750000"/>
    <n v="1500000"/>
    <n v="0"/>
    <x v="1"/>
    <s v="ACT-622-SHO-0234"/>
  </r>
  <r>
    <s v="TRX-2026-0235"/>
    <x v="61"/>
    <x v="1"/>
    <s v="PRD-006"/>
    <x v="4"/>
    <x v="4"/>
    <s v="LAZ"/>
    <x v="4"/>
    <n v="12"/>
    <n v="750000"/>
    <n v="9000000"/>
    <n v="0.05"/>
    <x v="0"/>
    <s v="ACT-205-LAZ-0235"/>
  </r>
  <r>
    <s v="TRX-2026-0236"/>
    <x v="144"/>
    <x v="1"/>
    <s v="PRD-005"/>
    <x v="5"/>
    <x v="1"/>
    <s v="SHO"/>
    <x v="2"/>
    <n v="3"/>
    <n v="5500000"/>
    <n v="16500000"/>
    <n v="0.05"/>
    <x v="2"/>
    <s v="ACT-177-SHO-0236"/>
  </r>
  <r>
    <s v="TRX-2026-0237"/>
    <x v="52"/>
    <x v="1"/>
    <s v="PRD-008"/>
    <x v="6"/>
    <x v="5"/>
    <s v="BLI"/>
    <x v="3"/>
    <n v="13"/>
    <n v="4000000"/>
    <n v="52000000"/>
    <n v="0.15"/>
    <x v="2"/>
    <s v="ACT-678-BLI-0237"/>
  </r>
  <r>
    <s v="TRX-2026-0238"/>
    <x v="145"/>
    <x v="0"/>
    <s v="PRD-006"/>
    <x v="4"/>
    <x v="4"/>
    <s v="LAZ"/>
    <x v="4"/>
    <n v="3"/>
    <n v="750000"/>
    <n v="2250000"/>
    <n v="0.15"/>
    <x v="0"/>
    <s v="ACT-580-LAZ-0238"/>
  </r>
  <r>
    <s v="TRX-2026-0239"/>
    <x v="47"/>
    <x v="7"/>
    <s v="PRD-005"/>
    <x v="5"/>
    <x v="1"/>
    <s v="LAZ"/>
    <x v="4"/>
    <n v="10"/>
    <n v="5500000"/>
    <n v="55000000"/>
    <n v="0"/>
    <x v="0"/>
    <s v="ACT-619-LAZ-0239"/>
  </r>
  <r>
    <s v="TRX-2026-0240"/>
    <x v="98"/>
    <x v="2"/>
    <s v="PRD-005"/>
    <x v="5"/>
    <x v="1"/>
    <s v="BLI"/>
    <x v="3"/>
    <n v="8"/>
    <n v="5500000"/>
    <n v="44000000"/>
    <n v="0"/>
    <x v="0"/>
    <s v="ACT-477-BLI-0240"/>
  </r>
  <r>
    <s v="TRX-2026-0241"/>
    <x v="78"/>
    <x v="4"/>
    <s v="PRD-005"/>
    <x v="5"/>
    <x v="1"/>
    <s v="TOK"/>
    <x v="0"/>
    <n v="11"/>
    <n v="5500000"/>
    <n v="60500000"/>
    <n v="0"/>
    <x v="1"/>
    <s v="ACT-708-TOK-0241"/>
  </r>
  <r>
    <s v="TRX-2026-0242"/>
    <x v="146"/>
    <x v="5"/>
    <s v="PRD-007"/>
    <x v="2"/>
    <x v="2"/>
    <s v="BLI"/>
    <x v="3"/>
    <n v="10"/>
    <n v="2000000"/>
    <n v="20000000"/>
    <n v="0"/>
    <x v="3"/>
    <s v="ACT-929-BLI-0242"/>
  </r>
  <r>
    <s v="TRX-2026-0243"/>
    <x v="147"/>
    <x v="5"/>
    <s v="PRD-004"/>
    <x v="1"/>
    <x v="1"/>
    <s v="LAZ"/>
    <x v="4"/>
    <n v="10"/>
    <n v="2500000"/>
    <n v="25000000"/>
    <n v="0.15"/>
    <x v="1"/>
    <s v="ACT-254-LAZ-0243"/>
  </r>
  <r>
    <s v="TRX-2026-0244"/>
    <x v="148"/>
    <x v="2"/>
    <s v="PRD-008"/>
    <x v="6"/>
    <x v="5"/>
    <s v="TOK"/>
    <x v="0"/>
    <n v="13"/>
    <n v="4000000"/>
    <n v="52000000"/>
    <n v="0.1"/>
    <x v="2"/>
    <s v="ACT-186-TOK-0244"/>
  </r>
  <r>
    <s v="TRX-2026-0245"/>
    <x v="146"/>
    <x v="5"/>
    <s v="PRD-003"/>
    <x v="3"/>
    <x v="3"/>
    <s v="TOK"/>
    <x v="0"/>
    <n v="4"/>
    <n v="12000000"/>
    <n v="48000000"/>
    <n v="0.15"/>
    <x v="3"/>
    <s v="ACT-636-TOK-0245"/>
  </r>
  <r>
    <s v="TRX-2026-0246"/>
    <x v="149"/>
    <x v="5"/>
    <s v="PRD-003"/>
    <x v="3"/>
    <x v="3"/>
    <s v="LAZ"/>
    <x v="4"/>
    <n v="6"/>
    <n v="12000000"/>
    <n v="72000000"/>
    <n v="0.1"/>
    <x v="3"/>
    <s v="ACT-518-LAZ-0246"/>
  </r>
  <r>
    <s v="TRX-2026-0247"/>
    <x v="150"/>
    <x v="3"/>
    <s v="PRD-006"/>
    <x v="4"/>
    <x v="4"/>
    <s v="TIK"/>
    <x v="1"/>
    <n v="1"/>
    <n v="750000"/>
    <n v="750000"/>
    <n v="0.1"/>
    <x v="0"/>
    <s v="ACT-437-TIK-0247"/>
  </r>
  <r>
    <s v="TRX-2026-0248"/>
    <x v="30"/>
    <x v="2"/>
    <s v="PRD-007"/>
    <x v="2"/>
    <x v="2"/>
    <s v="LAZ"/>
    <x v="4"/>
    <n v="5"/>
    <n v="2000000"/>
    <n v="10000000"/>
    <n v="0.05"/>
    <x v="0"/>
    <s v="ACT-183-LAZ-0248"/>
  </r>
  <r>
    <s v="TRX-2026-0249"/>
    <x v="108"/>
    <x v="5"/>
    <s v="PRD-003"/>
    <x v="3"/>
    <x v="3"/>
    <s v="LAZ"/>
    <x v="4"/>
    <n v="5"/>
    <n v="12000000"/>
    <n v="60000000"/>
    <n v="0.15"/>
    <x v="0"/>
    <s v="ACT-709-LAZ-0249"/>
  </r>
  <r>
    <s v="TRX-2026-0250"/>
    <x v="151"/>
    <x v="3"/>
    <s v="PRD-002"/>
    <x v="0"/>
    <x v="0"/>
    <s v="LAZ"/>
    <x v="4"/>
    <n v="9"/>
    <n v="3500000"/>
    <n v="31500000"/>
    <n v="0.15"/>
    <x v="2"/>
    <s v="ACT-910-LAZ-0250"/>
  </r>
  <r>
    <s v="TRX-2026-0251"/>
    <x v="152"/>
    <x v="6"/>
    <s v="PRD-003"/>
    <x v="3"/>
    <x v="3"/>
    <s v="TIK"/>
    <x v="1"/>
    <n v="2"/>
    <n v="12000000"/>
    <n v="24000000"/>
    <n v="0.15"/>
    <x v="1"/>
    <s v="ACT-470-TIK-0251"/>
  </r>
  <r>
    <s v="TRX-2026-0252"/>
    <x v="91"/>
    <x v="2"/>
    <s v="PRD-006"/>
    <x v="4"/>
    <x v="4"/>
    <s v="LAZ"/>
    <x v="4"/>
    <n v="3"/>
    <n v="750000"/>
    <n v="2250000"/>
    <n v="0.05"/>
    <x v="0"/>
    <s v="ACT-884-LAZ-0252"/>
  </r>
  <r>
    <s v="TRX-2026-0253"/>
    <x v="35"/>
    <x v="5"/>
    <s v="PRD-004"/>
    <x v="1"/>
    <x v="1"/>
    <s v="SHO"/>
    <x v="2"/>
    <n v="3"/>
    <n v="2500000"/>
    <n v="7500000"/>
    <n v="0.05"/>
    <x v="0"/>
    <s v="ACT-402-SHO-0253"/>
  </r>
  <r>
    <s v="TRX-2026-0254"/>
    <x v="6"/>
    <x v="4"/>
    <s v="PRD-002"/>
    <x v="0"/>
    <x v="0"/>
    <s v="TIK"/>
    <x v="1"/>
    <n v="13"/>
    <n v="3500000"/>
    <n v="45500000"/>
    <n v="0"/>
    <x v="2"/>
    <s v="ACT-444-TIK-0254"/>
  </r>
  <r>
    <s v="TRX-2026-0255"/>
    <x v="70"/>
    <x v="3"/>
    <s v="PRD-003"/>
    <x v="3"/>
    <x v="3"/>
    <s v="TIK"/>
    <x v="1"/>
    <n v="7"/>
    <n v="12000000"/>
    <n v="84000000"/>
    <n v="0.05"/>
    <x v="0"/>
    <s v="ACT-285-TIK-0255"/>
  </r>
  <r>
    <s v="TRX-2026-0256"/>
    <x v="78"/>
    <x v="4"/>
    <s v="PRD-003"/>
    <x v="3"/>
    <x v="3"/>
    <s v="BLI"/>
    <x v="3"/>
    <n v="1"/>
    <n v="12000000"/>
    <n v="12000000"/>
    <n v="0.15"/>
    <x v="0"/>
    <s v="ACT-792-BLI-0256"/>
  </r>
  <r>
    <s v="TRX-2026-0257"/>
    <x v="153"/>
    <x v="3"/>
    <s v="PRD-004"/>
    <x v="1"/>
    <x v="1"/>
    <s v="BLI"/>
    <x v="3"/>
    <n v="10"/>
    <n v="2500000"/>
    <n v="25000000"/>
    <n v="0.1"/>
    <x v="2"/>
    <s v="ACT-902-BLI-0257"/>
  </r>
  <r>
    <s v="TRX-2026-0258"/>
    <x v="154"/>
    <x v="7"/>
    <s v="PRD-004"/>
    <x v="1"/>
    <x v="1"/>
    <s v="TIK"/>
    <x v="1"/>
    <n v="4"/>
    <n v="2500000"/>
    <n v="10000000"/>
    <n v="0.1"/>
    <x v="3"/>
    <s v="ACT-955-TIK-0258"/>
  </r>
  <r>
    <s v="TRX-2026-0259"/>
    <x v="61"/>
    <x v="1"/>
    <s v="PRD-006"/>
    <x v="4"/>
    <x v="4"/>
    <s v="TIK"/>
    <x v="1"/>
    <n v="8"/>
    <n v="750000"/>
    <n v="6000000"/>
    <n v="0.15"/>
    <x v="0"/>
    <s v="ACT-896-TIK-0259"/>
  </r>
  <r>
    <s v="TRX-2026-0260"/>
    <x v="36"/>
    <x v="7"/>
    <s v="PRD-007"/>
    <x v="2"/>
    <x v="2"/>
    <s v="SHO"/>
    <x v="2"/>
    <n v="14"/>
    <n v="2000000"/>
    <n v="28000000"/>
    <n v="0.05"/>
    <x v="1"/>
    <s v="ACT-241-SHO-0260"/>
  </r>
  <r>
    <s v="TRX-2026-0261"/>
    <x v="45"/>
    <x v="6"/>
    <s v="PRD-001"/>
    <x v="7"/>
    <x v="0"/>
    <s v="BLI"/>
    <x v="3"/>
    <n v="14"/>
    <n v="1500000"/>
    <n v="21000000"/>
    <n v="0.1"/>
    <x v="1"/>
    <s v="ACT-205-BLI-0261"/>
  </r>
  <r>
    <s v="TRX-2026-0262"/>
    <x v="155"/>
    <x v="3"/>
    <s v="PRD-002"/>
    <x v="0"/>
    <x v="0"/>
    <s v="LAZ"/>
    <x v="4"/>
    <n v="2"/>
    <n v="3500000"/>
    <n v="7000000"/>
    <n v="0.05"/>
    <x v="0"/>
    <s v="ACT-560-LAZ-0262"/>
  </r>
  <r>
    <s v="TRX-2026-0263"/>
    <x v="28"/>
    <x v="5"/>
    <s v="PRD-003"/>
    <x v="3"/>
    <x v="3"/>
    <s v="BLI"/>
    <x v="3"/>
    <n v="2"/>
    <n v="12000000"/>
    <n v="24000000"/>
    <n v="0.05"/>
    <x v="3"/>
    <s v="ACT-457-BLI-0263"/>
  </r>
  <r>
    <s v="TRX-2026-0264"/>
    <x v="107"/>
    <x v="2"/>
    <s v="PRD-007"/>
    <x v="2"/>
    <x v="2"/>
    <s v="TOK"/>
    <x v="0"/>
    <n v="7"/>
    <n v="2000000"/>
    <n v="14000000"/>
    <n v="0.1"/>
    <x v="0"/>
    <s v="ACT-495-TOK-0264"/>
  </r>
  <r>
    <s v="TRX-2026-0265"/>
    <x v="121"/>
    <x v="2"/>
    <s v="PRD-006"/>
    <x v="4"/>
    <x v="4"/>
    <s v="SHO"/>
    <x v="2"/>
    <n v="1"/>
    <n v="750000"/>
    <n v="750000"/>
    <n v="0.1"/>
    <x v="0"/>
    <s v="ACT-959-SHO-0265"/>
  </r>
  <r>
    <s v="TRX-2026-0266"/>
    <x v="155"/>
    <x v="3"/>
    <s v="PRD-006"/>
    <x v="4"/>
    <x v="4"/>
    <s v="SHO"/>
    <x v="2"/>
    <n v="3"/>
    <n v="750000"/>
    <n v="2250000"/>
    <n v="0"/>
    <x v="0"/>
    <s v="ACT-949-SHO-0266"/>
  </r>
  <r>
    <s v="TRX-2026-0267"/>
    <x v="102"/>
    <x v="5"/>
    <s v="PRD-003"/>
    <x v="3"/>
    <x v="3"/>
    <s v="BLI"/>
    <x v="3"/>
    <n v="8"/>
    <n v="12000000"/>
    <n v="96000000"/>
    <n v="0"/>
    <x v="0"/>
    <s v="ACT-119-BLI-0267"/>
  </r>
  <r>
    <s v="TRX-2026-0268"/>
    <x v="156"/>
    <x v="6"/>
    <s v="PRD-004"/>
    <x v="1"/>
    <x v="1"/>
    <s v="SHO"/>
    <x v="2"/>
    <n v="9"/>
    <n v="2500000"/>
    <n v="22500000"/>
    <n v="0.15"/>
    <x v="0"/>
    <s v="ACT-894-SHO-0268"/>
  </r>
  <r>
    <s v="TRX-2026-0269"/>
    <x v="71"/>
    <x v="6"/>
    <s v="PRD-004"/>
    <x v="1"/>
    <x v="1"/>
    <s v="LAZ"/>
    <x v="4"/>
    <n v="2"/>
    <n v="2500000"/>
    <n v="5000000"/>
    <n v="0"/>
    <x v="0"/>
    <s v="ACT-529-LAZ-0269"/>
  </r>
  <r>
    <s v="TRX-2026-0270"/>
    <x v="0"/>
    <x v="0"/>
    <s v="PRD-008"/>
    <x v="6"/>
    <x v="5"/>
    <s v="TOK"/>
    <x v="0"/>
    <n v="2"/>
    <n v="4000000"/>
    <n v="8000000"/>
    <n v="0.15"/>
    <x v="1"/>
    <s v="ACT-648-TOK-0270"/>
  </r>
  <r>
    <s v="TRX-2026-0271"/>
    <x v="91"/>
    <x v="2"/>
    <s v="PRD-004"/>
    <x v="1"/>
    <x v="1"/>
    <s v="SHO"/>
    <x v="2"/>
    <n v="5"/>
    <n v="2500000"/>
    <n v="12500000"/>
    <n v="0.15"/>
    <x v="0"/>
    <s v="ACT-729-SHO-0271"/>
  </r>
  <r>
    <s v="TRX-2026-0272"/>
    <x v="157"/>
    <x v="7"/>
    <s v="PRD-004"/>
    <x v="1"/>
    <x v="1"/>
    <s v="TIK"/>
    <x v="1"/>
    <n v="7"/>
    <n v="2500000"/>
    <n v="17500000"/>
    <n v="0.05"/>
    <x v="2"/>
    <s v="ACT-784-TIK-0272"/>
  </r>
  <r>
    <s v="TRX-2026-0273"/>
    <x v="158"/>
    <x v="2"/>
    <s v="PRD-006"/>
    <x v="4"/>
    <x v="4"/>
    <s v="TOK"/>
    <x v="0"/>
    <n v="9"/>
    <n v="750000"/>
    <n v="6750000"/>
    <n v="0"/>
    <x v="3"/>
    <s v="ACT-994-TOK-0273"/>
  </r>
  <r>
    <s v="TRX-2026-0274"/>
    <x v="102"/>
    <x v="5"/>
    <s v="PRD-001"/>
    <x v="7"/>
    <x v="0"/>
    <s v="BLI"/>
    <x v="3"/>
    <n v="6"/>
    <n v="1500000"/>
    <n v="9000000"/>
    <n v="0.1"/>
    <x v="2"/>
    <s v="ACT-116-BLI-0274"/>
  </r>
  <r>
    <s v="TRX-2026-0275"/>
    <x v="159"/>
    <x v="7"/>
    <s v="PRD-002"/>
    <x v="0"/>
    <x v="0"/>
    <s v="LAZ"/>
    <x v="4"/>
    <n v="4"/>
    <n v="3500000"/>
    <n v="14000000"/>
    <n v="0"/>
    <x v="1"/>
    <s v="ACT-852-LAZ-0275"/>
  </r>
  <r>
    <s v="TRX-2026-0276"/>
    <x v="24"/>
    <x v="3"/>
    <s v="PRD-006"/>
    <x v="4"/>
    <x v="4"/>
    <s v="SHO"/>
    <x v="2"/>
    <n v="1"/>
    <n v="750000"/>
    <n v="750000"/>
    <n v="0.1"/>
    <x v="1"/>
    <s v="ACT-446-SHO-0276"/>
  </r>
  <r>
    <s v="TRX-2026-0277"/>
    <x v="22"/>
    <x v="3"/>
    <s v="PRD-003"/>
    <x v="3"/>
    <x v="3"/>
    <s v="BLI"/>
    <x v="3"/>
    <n v="12"/>
    <n v="12000000"/>
    <n v="144000000"/>
    <n v="0.15"/>
    <x v="2"/>
    <s v="ACT-286-BLI-0277"/>
  </r>
  <r>
    <s v="TRX-2026-0278"/>
    <x v="160"/>
    <x v="3"/>
    <s v="PRD-003"/>
    <x v="3"/>
    <x v="3"/>
    <s v="TOK"/>
    <x v="0"/>
    <n v="12"/>
    <n v="12000000"/>
    <n v="144000000"/>
    <n v="0.15"/>
    <x v="0"/>
    <s v="ACT-400-TOK-0278"/>
  </r>
  <r>
    <s v="TRX-2026-0279"/>
    <x v="54"/>
    <x v="1"/>
    <s v="PRD-001"/>
    <x v="7"/>
    <x v="0"/>
    <s v="SHO"/>
    <x v="2"/>
    <n v="15"/>
    <n v="1500000"/>
    <n v="22500000"/>
    <n v="0"/>
    <x v="0"/>
    <s v="ACT-417-SHO-0279"/>
  </r>
  <r>
    <s v="TRX-2026-0280"/>
    <x v="28"/>
    <x v="5"/>
    <s v="PRD-007"/>
    <x v="2"/>
    <x v="2"/>
    <s v="TIK"/>
    <x v="1"/>
    <n v="8"/>
    <n v="2000000"/>
    <n v="16000000"/>
    <n v="0.1"/>
    <x v="0"/>
    <s v="ACT-871-TIK-0280"/>
  </r>
  <r>
    <s v="TRX-2026-0281"/>
    <x v="84"/>
    <x v="0"/>
    <s v="PRD-004"/>
    <x v="1"/>
    <x v="1"/>
    <s v="LAZ"/>
    <x v="4"/>
    <n v="6"/>
    <n v="2500000"/>
    <n v="15000000"/>
    <n v="0"/>
    <x v="2"/>
    <s v="ACT-439-LAZ-0281"/>
  </r>
  <r>
    <s v="TRX-2026-0282"/>
    <x v="161"/>
    <x v="6"/>
    <s v="PRD-002"/>
    <x v="0"/>
    <x v="0"/>
    <s v="LAZ"/>
    <x v="4"/>
    <n v="7"/>
    <n v="3500000"/>
    <n v="24500000"/>
    <n v="0.15"/>
    <x v="2"/>
    <s v="ACT-550-LAZ-0282"/>
  </r>
  <r>
    <s v="TRX-2026-0283"/>
    <x v="66"/>
    <x v="7"/>
    <s v="PRD-006"/>
    <x v="4"/>
    <x v="4"/>
    <s v="SHO"/>
    <x v="2"/>
    <n v="8"/>
    <n v="750000"/>
    <n v="6000000"/>
    <n v="0.15"/>
    <x v="0"/>
    <s v="ACT-916-SHO-0283"/>
  </r>
  <r>
    <s v="TRX-2026-0284"/>
    <x v="89"/>
    <x v="5"/>
    <s v="PRD-005"/>
    <x v="5"/>
    <x v="1"/>
    <s v="TOK"/>
    <x v="0"/>
    <n v="12"/>
    <n v="5500000"/>
    <n v="66000000"/>
    <n v="0.15"/>
    <x v="0"/>
    <s v="ACT-540-TOK-0284"/>
  </r>
  <r>
    <s v="TRX-2026-0285"/>
    <x v="134"/>
    <x v="0"/>
    <s v="PRD-003"/>
    <x v="3"/>
    <x v="3"/>
    <s v="TIK"/>
    <x v="1"/>
    <n v="5"/>
    <n v="12000000"/>
    <n v="60000000"/>
    <n v="0.1"/>
    <x v="0"/>
    <s v="ACT-181-TIK-0285"/>
  </r>
  <r>
    <s v="TRX-2026-0286"/>
    <x v="120"/>
    <x v="6"/>
    <s v="PRD-005"/>
    <x v="5"/>
    <x v="1"/>
    <s v="LAZ"/>
    <x v="4"/>
    <n v="8"/>
    <n v="5500000"/>
    <n v="44000000"/>
    <n v="0.15"/>
    <x v="0"/>
    <s v="ACT-806-LAZ-0286"/>
  </r>
  <r>
    <s v="TRX-2026-0287"/>
    <x v="47"/>
    <x v="7"/>
    <s v="PRD-006"/>
    <x v="4"/>
    <x v="4"/>
    <s v="BLI"/>
    <x v="3"/>
    <n v="1"/>
    <n v="750000"/>
    <n v="750000"/>
    <n v="0.1"/>
    <x v="1"/>
    <s v="ACT-545-BLI-0287"/>
  </r>
  <r>
    <s v="TRX-2026-0288"/>
    <x v="129"/>
    <x v="6"/>
    <s v="PRD-001"/>
    <x v="7"/>
    <x v="0"/>
    <s v="TOK"/>
    <x v="0"/>
    <n v="11"/>
    <n v="1500000"/>
    <n v="16500000"/>
    <n v="0.15"/>
    <x v="0"/>
    <s v="ACT-625-TOK-0288"/>
  </r>
  <r>
    <s v="TRX-2026-0289"/>
    <x v="69"/>
    <x v="3"/>
    <s v="PRD-003"/>
    <x v="3"/>
    <x v="3"/>
    <s v="TOK"/>
    <x v="0"/>
    <n v="3"/>
    <n v="12000000"/>
    <n v="36000000"/>
    <n v="0.15"/>
    <x v="0"/>
    <s v="ACT-229-TOK-0289"/>
  </r>
  <r>
    <s v="TRX-2026-0290"/>
    <x v="162"/>
    <x v="2"/>
    <s v="PRD-004"/>
    <x v="1"/>
    <x v="1"/>
    <s v="LAZ"/>
    <x v="4"/>
    <n v="6"/>
    <n v="2500000"/>
    <n v="15000000"/>
    <n v="0.15"/>
    <x v="1"/>
    <s v="ACT-133-LAZ-0290"/>
  </r>
  <r>
    <s v="TRX-2026-0291"/>
    <x v="134"/>
    <x v="0"/>
    <s v="PRD-003"/>
    <x v="3"/>
    <x v="3"/>
    <s v="BLI"/>
    <x v="3"/>
    <n v="6"/>
    <n v="12000000"/>
    <n v="72000000"/>
    <n v="0.1"/>
    <x v="3"/>
    <s v="ACT-881-BLI-0291"/>
  </r>
  <r>
    <s v="TRX-2026-0292"/>
    <x v="33"/>
    <x v="2"/>
    <s v="PRD-003"/>
    <x v="3"/>
    <x v="3"/>
    <s v="TIK"/>
    <x v="1"/>
    <n v="6"/>
    <n v="12000000"/>
    <n v="72000000"/>
    <n v="0.15"/>
    <x v="0"/>
    <s v="ACT-765-TIK-0292"/>
  </r>
  <r>
    <s v="TRX-2026-0293"/>
    <x v="10"/>
    <x v="6"/>
    <s v="PRD-004"/>
    <x v="1"/>
    <x v="1"/>
    <s v="TOK"/>
    <x v="0"/>
    <n v="1"/>
    <n v="2500000"/>
    <n v="2500000"/>
    <n v="0.05"/>
    <x v="3"/>
    <s v="ACT-630-TOK-0293"/>
  </r>
  <r>
    <s v="TRX-2026-0294"/>
    <x v="163"/>
    <x v="7"/>
    <s v="PRD-002"/>
    <x v="0"/>
    <x v="0"/>
    <s v="LAZ"/>
    <x v="4"/>
    <n v="13"/>
    <n v="3500000"/>
    <n v="45500000"/>
    <n v="0.1"/>
    <x v="2"/>
    <s v="ACT-556-LAZ-0294"/>
  </r>
  <r>
    <s v="TRX-2026-0295"/>
    <x v="101"/>
    <x v="1"/>
    <s v="PRD-005"/>
    <x v="5"/>
    <x v="1"/>
    <s v="BLI"/>
    <x v="3"/>
    <n v="4"/>
    <n v="5500000"/>
    <n v="22000000"/>
    <n v="0"/>
    <x v="0"/>
    <s v="ACT-973-BLI-0295"/>
  </r>
  <r>
    <s v="TRX-2026-0296"/>
    <x v="98"/>
    <x v="2"/>
    <s v="PRD-008"/>
    <x v="6"/>
    <x v="5"/>
    <s v="SHO"/>
    <x v="2"/>
    <n v="15"/>
    <n v="4000000"/>
    <n v="60000000"/>
    <n v="0.15"/>
    <x v="0"/>
    <s v="ACT-929-SHO-0296"/>
  </r>
  <r>
    <s v="TRX-2026-0297"/>
    <x v="50"/>
    <x v="0"/>
    <s v="PRD-006"/>
    <x v="4"/>
    <x v="4"/>
    <s v="LAZ"/>
    <x v="4"/>
    <n v="12"/>
    <n v="750000"/>
    <n v="9000000"/>
    <n v="0"/>
    <x v="1"/>
    <s v="ACT-655-LAZ-0297"/>
  </r>
  <r>
    <s v="TRX-2026-0298"/>
    <x v="113"/>
    <x v="6"/>
    <s v="PRD-005"/>
    <x v="5"/>
    <x v="1"/>
    <s v="SHO"/>
    <x v="2"/>
    <n v="12"/>
    <n v="5500000"/>
    <n v="66000000"/>
    <n v="0.05"/>
    <x v="0"/>
    <s v="ACT-620-SHO-0298"/>
  </r>
  <r>
    <s v="TRX-2026-0299"/>
    <x v="64"/>
    <x v="1"/>
    <s v="PRD-002"/>
    <x v="0"/>
    <x v="0"/>
    <s v="SHO"/>
    <x v="2"/>
    <n v="13"/>
    <n v="3500000"/>
    <n v="45500000"/>
    <n v="0.05"/>
    <x v="0"/>
    <s v="ACT-909-SHO-0299"/>
  </r>
  <r>
    <s v="TRX-2026-0300"/>
    <x v="88"/>
    <x v="5"/>
    <s v="PRD-001"/>
    <x v="7"/>
    <x v="0"/>
    <s v="LAZ"/>
    <x v="4"/>
    <n v="9"/>
    <n v="1500000"/>
    <n v="13500000"/>
    <n v="0.1"/>
    <x v="3"/>
    <s v="ACT-922-LAZ-0300"/>
  </r>
  <r>
    <s v="TRX-2026-0301"/>
    <x v="164"/>
    <x v="5"/>
    <s v="PRD-003"/>
    <x v="3"/>
    <x v="3"/>
    <s v="TIK"/>
    <x v="1"/>
    <n v="15"/>
    <n v="12000000"/>
    <n v="180000000"/>
    <n v="0"/>
    <x v="0"/>
    <s v="ACT-416-TIK-0301"/>
  </r>
  <r>
    <s v="TRX-2026-0302"/>
    <x v="41"/>
    <x v="7"/>
    <s v="PRD-008"/>
    <x v="6"/>
    <x v="5"/>
    <s v="TIK"/>
    <x v="1"/>
    <n v="7"/>
    <n v="4000000"/>
    <n v="28000000"/>
    <n v="0.15"/>
    <x v="1"/>
    <s v="ACT-175-TIK-0302"/>
  </r>
  <r>
    <s v="TRX-2026-0303"/>
    <x v="116"/>
    <x v="1"/>
    <s v="PRD-006"/>
    <x v="4"/>
    <x v="4"/>
    <s v="TOK"/>
    <x v="0"/>
    <n v="8"/>
    <n v="750000"/>
    <n v="6000000"/>
    <n v="0.15"/>
    <x v="2"/>
    <s v="ACT-629-TOK-0303"/>
  </r>
  <r>
    <s v="TRX-2026-0304"/>
    <x v="140"/>
    <x v="6"/>
    <s v="PRD-003"/>
    <x v="3"/>
    <x v="3"/>
    <s v="TIK"/>
    <x v="1"/>
    <n v="11"/>
    <n v="12000000"/>
    <n v="132000000"/>
    <n v="0.05"/>
    <x v="0"/>
    <s v="ACT-543-TIK-0304"/>
  </r>
  <r>
    <s v="TRX-2026-0305"/>
    <x v="39"/>
    <x v="5"/>
    <s v="PRD-001"/>
    <x v="7"/>
    <x v="0"/>
    <s v="TOK"/>
    <x v="0"/>
    <n v="9"/>
    <n v="1500000"/>
    <n v="13500000"/>
    <n v="0.05"/>
    <x v="0"/>
    <s v="ACT-268-TOK-0305"/>
  </r>
  <r>
    <s v="TRX-2026-0306"/>
    <x v="165"/>
    <x v="1"/>
    <s v="PRD-006"/>
    <x v="4"/>
    <x v="4"/>
    <s v="SHO"/>
    <x v="2"/>
    <n v="6"/>
    <n v="750000"/>
    <n v="4500000"/>
    <n v="0.1"/>
    <x v="0"/>
    <s v="ACT-356-SHO-0306"/>
  </r>
  <r>
    <s v="TRX-2026-0307"/>
    <x v="82"/>
    <x v="1"/>
    <s v="PRD-005"/>
    <x v="5"/>
    <x v="1"/>
    <s v="SHO"/>
    <x v="2"/>
    <n v="11"/>
    <n v="5500000"/>
    <n v="60500000"/>
    <n v="0.1"/>
    <x v="1"/>
    <s v="ACT-646-SHO-0307"/>
  </r>
  <r>
    <s v="TRX-2026-0308"/>
    <x v="2"/>
    <x v="2"/>
    <s v="PRD-003"/>
    <x v="3"/>
    <x v="3"/>
    <s v="TIK"/>
    <x v="1"/>
    <n v="10"/>
    <n v="12000000"/>
    <n v="120000000"/>
    <n v="0.05"/>
    <x v="0"/>
    <s v="ACT-774-TIK-0308"/>
  </r>
  <r>
    <s v="TRX-2026-0309"/>
    <x v="59"/>
    <x v="0"/>
    <s v="PRD-006"/>
    <x v="4"/>
    <x v="4"/>
    <s v="TIK"/>
    <x v="1"/>
    <n v="1"/>
    <n v="750000"/>
    <n v="750000"/>
    <n v="0"/>
    <x v="0"/>
    <s v="ACT-146-TIK-0309"/>
  </r>
  <r>
    <s v="TRX-2026-0310"/>
    <x v="145"/>
    <x v="0"/>
    <s v="PRD-005"/>
    <x v="5"/>
    <x v="1"/>
    <s v="SHO"/>
    <x v="2"/>
    <n v="13"/>
    <n v="5500000"/>
    <n v="71500000"/>
    <n v="0.15"/>
    <x v="1"/>
    <s v="ACT-754-SHO-0310"/>
  </r>
  <r>
    <s v="TRX-2026-0311"/>
    <x v="76"/>
    <x v="2"/>
    <s v="PRD-008"/>
    <x v="6"/>
    <x v="5"/>
    <s v="TIK"/>
    <x v="1"/>
    <n v="5"/>
    <n v="4000000"/>
    <n v="20000000"/>
    <n v="0.1"/>
    <x v="3"/>
    <s v="ACT-350-TIK-0311"/>
  </r>
  <r>
    <s v="TRX-2026-0312"/>
    <x v="4"/>
    <x v="3"/>
    <s v="PRD-007"/>
    <x v="2"/>
    <x v="2"/>
    <s v="LAZ"/>
    <x v="4"/>
    <n v="8"/>
    <n v="2000000"/>
    <n v="16000000"/>
    <n v="0"/>
    <x v="2"/>
    <s v="ACT-161-LAZ-0312"/>
  </r>
  <r>
    <s v="TRX-2026-0313"/>
    <x v="42"/>
    <x v="1"/>
    <s v="PRD-008"/>
    <x v="6"/>
    <x v="5"/>
    <s v="BLI"/>
    <x v="3"/>
    <n v="8"/>
    <n v="4000000"/>
    <n v="32000000"/>
    <n v="0.15"/>
    <x v="0"/>
    <s v="ACT-448-BLI-0313"/>
  </r>
  <r>
    <s v="TRX-2026-0314"/>
    <x v="166"/>
    <x v="0"/>
    <s v="PRD-003"/>
    <x v="3"/>
    <x v="3"/>
    <s v="LAZ"/>
    <x v="4"/>
    <n v="14"/>
    <n v="12000000"/>
    <n v="168000000"/>
    <n v="0.1"/>
    <x v="2"/>
    <s v="ACT-981-LAZ-0314"/>
  </r>
  <r>
    <s v="TRX-2026-0315"/>
    <x v="140"/>
    <x v="6"/>
    <s v="PRD-007"/>
    <x v="2"/>
    <x v="2"/>
    <s v="SHO"/>
    <x v="2"/>
    <n v="13"/>
    <n v="2000000"/>
    <n v="26000000"/>
    <n v="0.1"/>
    <x v="1"/>
    <s v="ACT-675-SHO-0315"/>
  </r>
  <r>
    <s v="TRX-2026-0316"/>
    <x v="81"/>
    <x v="2"/>
    <s v="PRD-006"/>
    <x v="4"/>
    <x v="4"/>
    <s v="SHO"/>
    <x v="2"/>
    <n v="8"/>
    <n v="750000"/>
    <n v="6000000"/>
    <n v="0"/>
    <x v="0"/>
    <s v="ACT-560-SHO-0316"/>
  </r>
  <r>
    <s v="TRX-2026-0317"/>
    <x v="167"/>
    <x v="6"/>
    <s v="PRD-003"/>
    <x v="3"/>
    <x v="3"/>
    <s v="TOK"/>
    <x v="0"/>
    <n v="1"/>
    <n v="12000000"/>
    <n v="12000000"/>
    <n v="0.1"/>
    <x v="3"/>
    <s v="ACT-984-TOK-0317"/>
  </r>
  <r>
    <s v="TRX-2026-0318"/>
    <x v="168"/>
    <x v="0"/>
    <s v="PRD-007"/>
    <x v="2"/>
    <x v="2"/>
    <s v="SHO"/>
    <x v="2"/>
    <n v="14"/>
    <n v="2000000"/>
    <n v="28000000"/>
    <n v="0.05"/>
    <x v="0"/>
    <s v="ACT-691-SHO-0318"/>
  </r>
  <r>
    <s v="TRX-2026-0319"/>
    <x v="153"/>
    <x v="3"/>
    <s v="PRD-006"/>
    <x v="4"/>
    <x v="4"/>
    <s v="SHO"/>
    <x v="2"/>
    <n v="13"/>
    <n v="750000"/>
    <n v="9750000"/>
    <n v="0.05"/>
    <x v="3"/>
    <s v="ACT-627-SHO-0319"/>
  </r>
  <r>
    <s v="TRX-2026-0320"/>
    <x v="80"/>
    <x v="7"/>
    <s v="PRD-008"/>
    <x v="6"/>
    <x v="5"/>
    <s v="LAZ"/>
    <x v="4"/>
    <n v="8"/>
    <n v="4000000"/>
    <n v="32000000"/>
    <n v="0"/>
    <x v="0"/>
    <s v="ACT-502-LAZ-0320"/>
  </r>
  <r>
    <s v="TRX-2026-0321"/>
    <x v="146"/>
    <x v="5"/>
    <s v="PRD-008"/>
    <x v="6"/>
    <x v="5"/>
    <s v="SHO"/>
    <x v="2"/>
    <n v="4"/>
    <n v="4000000"/>
    <n v="16000000"/>
    <n v="0.1"/>
    <x v="0"/>
    <s v="ACT-151-SHO-0321"/>
  </r>
  <r>
    <s v="TRX-2026-0322"/>
    <x v="63"/>
    <x v="6"/>
    <s v="PRD-008"/>
    <x v="6"/>
    <x v="5"/>
    <s v="TIK"/>
    <x v="1"/>
    <n v="15"/>
    <n v="4000000"/>
    <n v="60000000"/>
    <n v="0.15"/>
    <x v="0"/>
    <s v="ACT-649-TIK-0322"/>
  </r>
  <r>
    <s v="TRX-2026-0323"/>
    <x v="169"/>
    <x v="2"/>
    <s v="PRD-002"/>
    <x v="0"/>
    <x v="0"/>
    <s v="BLI"/>
    <x v="3"/>
    <n v="3"/>
    <n v="3500000"/>
    <n v="10500000"/>
    <n v="0.1"/>
    <x v="2"/>
    <s v="ACT-474-BLI-0323"/>
  </r>
  <r>
    <s v="TRX-2026-0324"/>
    <x v="5"/>
    <x v="3"/>
    <s v="PRD-007"/>
    <x v="2"/>
    <x v="2"/>
    <s v="LAZ"/>
    <x v="4"/>
    <n v="1"/>
    <n v="2000000"/>
    <n v="2000000"/>
    <n v="0.15"/>
    <x v="0"/>
    <s v="ACT-683-LAZ-0324"/>
  </r>
  <r>
    <s v="TRX-2026-0325"/>
    <x v="170"/>
    <x v="5"/>
    <s v="PRD-004"/>
    <x v="1"/>
    <x v="1"/>
    <s v="LAZ"/>
    <x v="4"/>
    <n v="9"/>
    <n v="2500000"/>
    <n v="22500000"/>
    <n v="0.1"/>
    <x v="0"/>
    <s v="ACT-495-LAZ-0325"/>
  </r>
  <r>
    <s v="TRX-2026-0326"/>
    <x v="146"/>
    <x v="5"/>
    <s v="PRD-008"/>
    <x v="6"/>
    <x v="5"/>
    <s v="TIK"/>
    <x v="1"/>
    <n v="5"/>
    <n v="4000000"/>
    <n v="20000000"/>
    <n v="0"/>
    <x v="0"/>
    <s v="ACT-199-TIK-0326"/>
  </r>
  <r>
    <s v="TRX-2026-0327"/>
    <x v="171"/>
    <x v="7"/>
    <s v="PRD-006"/>
    <x v="4"/>
    <x v="4"/>
    <s v="LAZ"/>
    <x v="4"/>
    <n v="9"/>
    <n v="750000"/>
    <n v="6750000"/>
    <n v="0.1"/>
    <x v="0"/>
    <s v="ACT-303-LAZ-0327"/>
  </r>
  <r>
    <s v="TRX-2026-0328"/>
    <x v="134"/>
    <x v="0"/>
    <s v="PRD-007"/>
    <x v="2"/>
    <x v="2"/>
    <s v="TIK"/>
    <x v="1"/>
    <n v="1"/>
    <n v="2000000"/>
    <n v="2000000"/>
    <n v="0"/>
    <x v="0"/>
    <s v="ACT-240-TIK-0328"/>
  </r>
  <r>
    <s v="TRX-2026-0329"/>
    <x v="155"/>
    <x v="3"/>
    <s v="PRD-006"/>
    <x v="4"/>
    <x v="4"/>
    <s v="BLI"/>
    <x v="3"/>
    <n v="9"/>
    <n v="750000"/>
    <n v="6750000"/>
    <n v="0.15"/>
    <x v="0"/>
    <s v="ACT-720-BLI-0329"/>
  </r>
  <r>
    <s v="TRX-2026-0330"/>
    <x v="28"/>
    <x v="5"/>
    <s v="PRD-003"/>
    <x v="3"/>
    <x v="3"/>
    <s v="LAZ"/>
    <x v="4"/>
    <n v="15"/>
    <n v="12000000"/>
    <n v="180000000"/>
    <n v="0.1"/>
    <x v="0"/>
    <s v="ACT-502-LAZ-0330"/>
  </r>
  <r>
    <s v="TRX-2026-0331"/>
    <x v="168"/>
    <x v="0"/>
    <s v="PRD-005"/>
    <x v="5"/>
    <x v="1"/>
    <s v="TIK"/>
    <x v="1"/>
    <n v="6"/>
    <n v="5500000"/>
    <n v="33000000"/>
    <n v="0.15"/>
    <x v="2"/>
    <s v="ACT-676-TIK-0331"/>
  </r>
  <r>
    <s v="TRX-2026-0332"/>
    <x v="172"/>
    <x v="6"/>
    <s v="PRD-008"/>
    <x v="6"/>
    <x v="5"/>
    <s v="TOK"/>
    <x v="0"/>
    <n v="6"/>
    <n v="4000000"/>
    <n v="24000000"/>
    <n v="0.1"/>
    <x v="2"/>
    <s v="ACT-212-TOK-0332"/>
  </r>
  <r>
    <s v="TRX-2026-0333"/>
    <x v="173"/>
    <x v="7"/>
    <s v="PRD-005"/>
    <x v="5"/>
    <x v="1"/>
    <s v="TOK"/>
    <x v="0"/>
    <n v="10"/>
    <n v="5500000"/>
    <n v="55000000"/>
    <n v="0.15"/>
    <x v="0"/>
    <s v="ACT-771-TOK-0333"/>
  </r>
  <r>
    <s v="TRX-2026-0334"/>
    <x v="117"/>
    <x v="3"/>
    <s v="PRD-004"/>
    <x v="1"/>
    <x v="1"/>
    <s v="TOK"/>
    <x v="0"/>
    <n v="10"/>
    <n v="2500000"/>
    <n v="25000000"/>
    <n v="0.15"/>
    <x v="0"/>
    <s v="ACT-636-TOK-0334"/>
  </r>
  <r>
    <s v="TRX-2026-0335"/>
    <x v="27"/>
    <x v="0"/>
    <s v="PRD-007"/>
    <x v="2"/>
    <x v="2"/>
    <s v="SHO"/>
    <x v="2"/>
    <n v="14"/>
    <n v="2000000"/>
    <n v="28000000"/>
    <n v="0.05"/>
    <x v="0"/>
    <s v="ACT-686-SHO-0335"/>
  </r>
  <r>
    <s v="TRX-2026-0336"/>
    <x v="103"/>
    <x v="0"/>
    <s v="PRD-002"/>
    <x v="0"/>
    <x v="0"/>
    <s v="SHO"/>
    <x v="2"/>
    <n v="1"/>
    <n v="3500000"/>
    <n v="3500000"/>
    <n v="0.15"/>
    <x v="0"/>
    <s v="ACT-528-SHO-0336"/>
  </r>
  <r>
    <s v="TRX-2026-0337"/>
    <x v="48"/>
    <x v="1"/>
    <s v="PRD-007"/>
    <x v="2"/>
    <x v="2"/>
    <s v="SHO"/>
    <x v="2"/>
    <n v="7"/>
    <n v="2000000"/>
    <n v="14000000"/>
    <n v="0.15"/>
    <x v="2"/>
    <s v="ACT-844-SHO-0337"/>
  </r>
  <r>
    <s v="TRX-2026-0338"/>
    <x v="148"/>
    <x v="2"/>
    <s v="PRD-003"/>
    <x v="3"/>
    <x v="3"/>
    <s v="TIK"/>
    <x v="1"/>
    <n v="4"/>
    <n v="12000000"/>
    <n v="48000000"/>
    <n v="0.1"/>
    <x v="2"/>
    <s v="ACT-589-TIK-0338"/>
  </r>
  <r>
    <s v="TRX-2026-0339"/>
    <x v="142"/>
    <x v="5"/>
    <s v="PRD-007"/>
    <x v="2"/>
    <x v="2"/>
    <s v="LAZ"/>
    <x v="4"/>
    <n v="3"/>
    <n v="2000000"/>
    <n v="6000000"/>
    <n v="0.15"/>
    <x v="1"/>
    <s v="ACT-450-LAZ-0339"/>
  </r>
  <r>
    <s v="TRX-2026-0340"/>
    <x v="174"/>
    <x v="5"/>
    <s v="PRD-006"/>
    <x v="4"/>
    <x v="4"/>
    <s v="LAZ"/>
    <x v="4"/>
    <n v="10"/>
    <n v="750000"/>
    <n v="7500000"/>
    <n v="0.15"/>
    <x v="0"/>
    <s v="ACT-352-LAZ-0340"/>
  </r>
  <r>
    <s v="TRX-2026-0341"/>
    <x v="10"/>
    <x v="6"/>
    <s v="PRD-005"/>
    <x v="5"/>
    <x v="1"/>
    <s v="SHO"/>
    <x v="2"/>
    <n v="5"/>
    <n v="5500000"/>
    <n v="27500000"/>
    <n v="0.1"/>
    <x v="2"/>
    <s v="ACT-312-SHO-0341"/>
  </r>
  <r>
    <s v="TRX-2026-0342"/>
    <x v="123"/>
    <x v="0"/>
    <s v="PRD-008"/>
    <x v="6"/>
    <x v="5"/>
    <s v="LAZ"/>
    <x v="4"/>
    <n v="8"/>
    <n v="4000000"/>
    <n v="32000000"/>
    <n v="0.1"/>
    <x v="1"/>
    <s v="ACT-914-LAZ-0342"/>
  </r>
  <r>
    <s v="TRX-2026-0343"/>
    <x v="153"/>
    <x v="3"/>
    <s v="PRD-005"/>
    <x v="5"/>
    <x v="1"/>
    <s v="LAZ"/>
    <x v="4"/>
    <n v="2"/>
    <n v="5500000"/>
    <n v="11000000"/>
    <n v="0.15"/>
    <x v="3"/>
    <s v="ACT-938-LAZ-0343"/>
  </r>
  <r>
    <s v="TRX-2026-0344"/>
    <x v="140"/>
    <x v="6"/>
    <s v="PRD-003"/>
    <x v="3"/>
    <x v="3"/>
    <s v="LAZ"/>
    <x v="4"/>
    <n v="1"/>
    <n v="12000000"/>
    <n v="12000000"/>
    <n v="0.1"/>
    <x v="2"/>
    <s v="ACT-180-LAZ-0344"/>
  </r>
  <r>
    <s v="TRX-2026-0345"/>
    <x v="140"/>
    <x v="6"/>
    <s v="PRD-008"/>
    <x v="6"/>
    <x v="5"/>
    <s v="LAZ"/>
    <x v="4"/>
    <n v="12"/>
    <n v="4000000"/>
    <n v="48000000"/>
    <n v="0.15"/>
    <x v="0"/>
    <s v="ACT-306-LAZ-0345"/>
  </r>
  <r>
    <s v="TRX-2026-0346"/>
    <x v="87"/>
    <x v="3"/>
    <s v="PRD-005"/>
    <x v="5"/>
    <x v="1"/>
    <s v="TIK"/>
    <x v="1"/>
    <n v="12"/>
    <n v="5500000"/>
    <n v="66000000"/>
    <n v="0.1"/>
    <x v="0"/>
    <s v="ACT-211-TIK-0346"/>
  </r>
  <r>
    <s v="TRX-2026-0347"/>
    <x v="168"/>
    <x v="0"/>
    <s v="PRD-004"/>
    <x v="1"/>
    <x v="1"/>
    <s v="SHO"/>
    <x v="2"/>
    <n v="1"/>
    <n v="2500000"/>
    <n v="2500000"/>
    <n v="0.05"/>
    <x v="2"/>
    <s v="ACT-338-SHO-0347"/>
  </r>
  <r>
    <s v="TRX-2026-0348"/>
    <x v="96"/>
    <x v="2"/>
    <s v="PRD-002"/>
    <x v="0"/>
    <x v="0"/>
    <s v="BLI"/>
    <x v="3"/>
    <n v="6"/>
    <n v="3500000"/>
    <n v="21000000"/>
    <n v="0.15"/>
    <x v="0"/>
    <s v="ACT-797-BLI-0348"/>
  </r>
  <r>
    <s v="TRX-2026-0349"/>
    <x v="83"/>
    <x v="3"/>
    <s v="PRD-003"/>
    <x v="3"/>
    <x v="3"/>
    <s v="TOK"/>
    <x v="0"/>
    <n v="9"/>
    <n v="12000000"/>
    <n v="108000000"/>
    <n v="0.05"/>
    <x v="3"/>
    <s v="ACT-768-TOK-0349"/>
  </r>
  <r>
    <s v="TRX-2026-0350"/>
    <x v="23"/>
    <x v="5"/>
    <s v="PRD-008"/>
    <x v="6"/>
    <x v="5"/>
    <s v="SHO"/>
    <x v="2"/>
    <n v="13"/>
    <n v="4000000"/>
    <n v="52000000"/>
    <n v="0.1"/>
    <x v="0"/>
    <s v="ACT-392-SHO-0350"/>
  </r>
  <r>
    <s v="TRX-2026-0351"/>
    <x v="84"/>
    <x v="0"/>
    <s v="PRD-001"/>
    <x v="7"/>
    <x v="0"/>
    <s v="TOK"/>
    <x v="0"/>
    <n v="11"/>
    <n v="1500000"/>
    <n v="16500000"/>
    <n v="0.05"/>
    <x v="1"/>
    <s v="ACT-856-TOK-0351"/>
  </r>
  <r>
    <s v="TRX-2026-0352"/>
    <x v="114"/>
    <x v="3"/>
    <s v="PRD-001"/>
    <x v="7"/>
    <x v="0"/>
    <s v="SHO"/>
    <x v="2"/>
    <n v="7"/>
    <n v="1500000"/>
    <n v="10500000"/>
    <n v="0.05"/>
    <x v="0"/>
    <s v="ACT-956-SHO-0352"/>
  </r>
  <r>
    <s v="TRX-2026-0353"/>
    <x v="41"/>
    <x v="7"/>
    <s v="PRD-008"/>
    <x v="6"/>
    <x v="5"/>
    <s v="SHO"/>
    <x v="2"/>
    <n v="15"/>
    <n v="4000000"/>
    <n v="60000000"/>
    <n v="0.1"/>
    <x v="0"/>
    <s v="ACT-109-SHO-0353"/>
  </r>
  <r>
    <s v="TRX-2026-0354"/>
    <x v="172"/>
    <x v="6"/>
    <s v="PRD-002"/>
    <x v="0"/>
    <x v="0"/>
    <s v="LAZ"/>
    <x v="4"/>
    <n v="5"/>
    <n v="3500000"/>
    <n v="17500000"/>
    <n v="0.15"/>
    <x v="2"/>
    <s v="ACT-656-LAZ-0354"/>
  </r>
  <r>
    <s v="TRX-2026-0355"/>
    <x v="142"/>
    <x v="5"/>
    <s v="PRD-008"/>
    <x v="6"/>
    <x v="5"/>
    <s v="SHO"/>
    <x v="2"/>
    <n v="14"/>
    <n v="4000000"/>
    <n v="56000000"/>
    <n v="0.15"/>
    <x v="0"/>
    <s v="ACT-297-SHO-0355"/>
  </r>
  <r>
    <s v="TRX-2026-0356"/>
    <x v="160"/>
    <x v="3"/>
    <s v="PRD-002"/>
    <x v="0"/>
    <x v="0"/>
    <s v="LAZ"/>
    <x v="4"/>
    <n v="3"/>
    <n v="3500000"/>
    <n v="10500000"/>
    <n v="0.15"/>
    <x v="2"/>
    <s v="ACT-363-LAZ-0356"/>
  </r>
  <r>
    <s v="TRX-2026-0357"/>
    <x v="3"/>
    <x v="3"/>
    <s v="PRD-003"/>
    <x v="3"/>
    <x v="3"/>
    <s v="TOK"/>
    <x v="0"/>
    <n v="12"/>
    <n v="12000000"/>
    <n v="144000000"/>
    <n v="0.1"/>
    <x v="0"/>
    <s v="ACT-681-TOK-0357"/>
  </r>
  <r>
    <s v="TRX-2026-0358"/>
    <x v="125"/>
    <x v="0"/>
    <s v="PRD-004"/>
    <x v="1"/>
    <x v="1"/>
    <s v="SHO"/>
    <x v="2"/>
    <n v="10"/>
    <n v="2500000"/>
    <n v="25000000"/>
    <n v="0.15"/>
    <x v="3"/>
    <s v="ACT-627-SHO-0358"/>
  </r>
  <r>
    <s v="TRX-2026-0359"/>
    <x v="120"/>
    <x v="6"/>
    <s v="PRD-002"/>
    <x v="0"/>
    <x v="0"/>
    <s v="BLI"/>
    <x v="3"/>
    <n v="11"/>
    <n v="3500000"/>
    <n v="38500000"/>
    <n v="0"/>
    <x v="0"/>
    <s v="ACT-243-BLI-0359"/>
  </r>
  <r>
    <s v="TRX-2026-0360"/>
    <x v="74"/>
    <x v="5"/>
    <s v="PRD-006"/>
    <x v="4"/>
    <x v="4"/>
    <s v="SHO"/>
    <x v="2"/>
    <n v="1"/>
    <n v="750000"/>
    <n v="750000"/>
    <n v="0.1"/>
    <x v="3"/>
    <s v="ACT-341-SHO-0360"/>
  </r>
  <r>
    <s v="TRX-2026-0361"/>
    <x v="154"/>
    <x v="7"/>
    <s v="PRD-005"/>
    <x v="5"/>
    <x v="1"/>
    <s v="LAZ"/>
    <x v="4"/>
    <n v="5"/>
    <n v="5500000"/>
    <n v="27500000"/>
    <n v="0"/>
    <x v="0"/>
    <s v="ACT-769-LAZ-0361"/>
  </r>
  <r>
    <s v="TRX-2026-0362"/>
    <x v="95"/>
    <x v="7"/>
    <s v="PRD-004"/>
    <x v="1"/>
    <x v="1"/>
    <s v="TOK"/>
    <x v="0"/>
    <n v="11"/>
    <n v="2500000"/>
    <n v="27500000"/>
    <n v="0"/>
    <x v="3"/>
    <s v="ACT-414-TOK-0362"/>
  </r>
  <r>
    <s v="TRX-2026-0363"/>
    <x v="42"/>
    <x v="1"/>
    <s v="PRD-007"/>
    <x v="2"/>
    <x v="2"/>
    <s v="TIK"/>
    <x v="1"/>
    <n v="15"/>
    <n v="2000000"/>
    <n v="30000000"/>
    <n v="0.1"/>
    <x v="2"/>
    <s v="ACT-220-TIK-0363"/>
  </r>
  <r>
    <s v="TRX-2026-0364"/>
    <x v="0"/>
    <x v="0"/>
    <s v="PRD-005"/>
    <x v="5"/>
    <x v="1"/>
    <s v="LAZ"/>
    <x v="4"/>
    <n v="10"/>
    <n v="5500000"/>
    <n v="55000000"/>
    <n v="0.05"/>
    <x v="0"/>
    <s v="ACT-236-LAZ-0364"/>
  </r>
  <r>
    <s v="TRX-2026-0365"/>
    <x v="74"/>
    <x v="5"/>
    <s v="PRD-003"/>
    <x v="3"/>
    <x v="3"/>
    <s v="BLI"/>
    <x v="3"/>
    <n v="12"/>
    <n v="12000000"/>
    <n v="144000000"/>
    <n v="0.1"/>
    <x v="3"/>
    <s v="ACT-818-BLI-0365"/>
  </r>
  <r>
    <s v="TRX-2026-0366"/>
    <x v="93"/>
    <x v="5"/>
    <s v="PRD-008"/>
    <x v="6"/>
    <x v="5"/>
    <s v="TIK"/>
    <x v="1"/>
    <n v="13"/>
    <n v="4000000"/>
    <n v="52000000"/>
    <n v="0.05"/>
    <x v="0"/>
    <s v="ACT-796-TIK-0366"/>
  </r>
  <r>
    <s v="TRX-2026-0367"/>
    <x v="24"/>
    <x v="3"/>
    <s v="PRD-002"/>
    <x v="0"/>
    <x v="0"/>
    <s v="TIK"/>
    <x v="1"/>
    <n v="8"/>
    <n v="3500000"/>
    <n v="28000000"/>
    <n v="0.1"/>
    <x v="0"/>
    <s v="ACT-677-TIK-0367"/>
  </r>
  <r>
    <s v="TRX-2026-0368"/>
    <x v="175"/>
    <x v="2"/>
    <s v="PRD-001"/>
    <x v="7"/>
    <x v="0"/>
    <s v="TIK"/>
    <x v="1"/>
    <n v="15"/>
    <n v="1500000"/>
    <n v="22500000"/>
    <n v="0.05"/>
    <x v="1"/>
    <s v="ACT-649-TIK-0368"/>
  </r>
  <r>
    <s v="TRX-2026-0369"/>
    <x v="48"/>
    <x v="1"/>
    <s v="PRD-003"/>
    <x v="3"/>
    <x v="3"/>
    <s v="LAZ"/>
    <x v="4"/>
    <n v="14"/>
    <n v="12000000"/>
    <n v="168000000"/>
    <n v="0.15"/>
    <x v="0"/>
    <s v="ACT-796-LAZ-0369"/>
  </r>
  <r>
    <s v="TRX-2026-0370"/>
    <x v="73"/>
    <x v="1"/>
    <s v="PRD-008"/>
    <x v="6"/>
    <x v="5"/>
    <s v="TOK"/>
    <x v="0"/>
    <n v="15"/>
    <n v="4000000"/>
    <n v="60000000"/>
    <n v="0.15"/>
    <x v="0"/>
    <s v="ACT-564-TOK-0370"/>
  </r>
  <r>
    <s v="TRX-2026-0371"/>
    <x v="29"/>
    <x v="1"/>
    <s v="PRD-007"/>
    <x v="2"/>
    <x v="2"/>
    <s v="BLI"/>
    <x v="3"/>
    <n v="10"/>
    <n v="2000000"/>
    <n v="20000000"/>
    <n v="0"/>
    <x v="1"/>
    <s v="ACT-573-BLI-0371"/>
  </r>
  <r>
    <s v="TRX-2026-0372"/>
    <x v="125"/>
    <x v="0"/>
    <s v="PRD-005"/>
    <x v="5"/>
    <x v="1"/>
    <s v="TOK"/>
    <x v="0"/>
    <n v="7"/>
    <n v="5500000"/>
    <n v="38500000"/>
    <n v="0.1"/>
    <x v="0"/>
    <s v="ACT-863-TOK-0372"/>
  </r>
  <r>
    <s v="TRX-2026-0373"/>
    <x v="176"/>
    <x v="1"/>
    <s v="PRD-002"/>
    <x v="0"/>
    <x v="0"/>
    <s v="TOK"/>
    <x v="0"/>
    <n v="7"/>
    <n v="3500000"/>
    <n v="24500000"/>
    <n v="0.1"/>
    <x v="2"/>
    <s v="ACT-165-TOK-0373"/>
  </r>
  <r>
    <s v="TRX-2026-0374"/>
    <x v="177"/>
    <x v="5"/>
    <s v="PRD-001"/>
    <x v="7"/>
    <x v="0"/>
    <s v="TOK"/>
    <x v="0"/>
    <n v="15"/>
    <n v="1500000"/>
    <n v="22500000"/>
    <n v="0.15"/>
    <x v="0"/>
    <s v="ACT-393-TOK-0374"/>
  </r>
  <r>
    <s v="TRX-2026-0375"/>
    <x v="178"/>
    <x v="7"/>
    <s v="PRD-003"/>
    <x v="3"/>
    <x v="3"/>
    <s v="SHO"/>
    <x v="2"/>
    <n v="13"/>
    <n v="12000000"/>
    <n v="156000000"/>
    <n v="0.15"/>
    <x v="0"/>
    <s v="ACT-491-SHO-0375"/>
  </r>
  <r>
    <s v="TRX-2026-0376"/>
    <x v="154"/>
    <x v="7"/>
    <s v="PRD-007"/>
    <x v="2"/>
    <x v="2"/>
    <s v="BLI"/>
    <x v="3"/>
    <n v="2"/>
    <n v="2000000"/>
    <n v="4000000"/>
    <n v="0.05"/>
    <x v="2"/>
    <s v="ACT-980-BLI-0376"/>
  </r>
  <r>
    <s v="TRX-2026-0377"/>
    <x v="179"/>
    <x v="6"/>
    <s v="PRD-002"/>
    <x v="0"/>
    <x v="0"/>
    <s v="SHO"/>
    <x v="2"/>
    <n v="9"/>
    <n v="3500000"/>
    <n v="31500000"/>
    <n v="0.15"/>
    <x v="1"/>
    <s v="ACT-230-SHO-0377"/>
  </r>
  <r>
    <s v="TRX-2026-0378"/>
    <x v="31"/>
    <x v="3"/>
    <s v="PRD-004"/>
    <x v="1"/>
    <x v="1"/>
    <s v="TOK"/>
    <x v="0"/>
    <n v="13"/>
    <n v="2500000"/>
    <n v="32500000"/>
    <n v="0"/>
    <x v="0"/>
    <s v="ACT-574-TOK-0378"/>
  </r>
  <r>
    <s v="TRX-2026-0379"/>
    <x v="125"/>
    <x v="0"/>
    <s v="PRD-007"/>
    <x v="2"/>
    <x v="2"/>
    <s v="TIK"/>
    <x v="1"/>
    <n v="7"/>
    <n v="2000000"/>
    <n v="14000000"/>
    <n v="0.05"/>
    <x v="0"/>
    <s v="ACT-571-TIK-0379"/>
  </r>
  <r>
    <s v="TRX-2026-0380"/>
    <x v="140"/>
    <x v="6"/>
    <s v="PRD-003"/>
    <x v="3"/>
    <x v="3"/>
    <s v="LAZ"/>
    <x v="4"/>
    <n v="4"/>
    <n v="12000000"/>
    <n v="48000000"/>
    <n v="0"/>
    <x v="0"/>
    <s v="ACT-928-LAZ-0380"/>
  </r>
  <r>
    <s v="TRX-2026-0381"/>
    <x v="130"/>
    <x v="0"/>
    <s v="PRD-007"/>
    <x v="2"/>
    <x v="2"/>
    <s v="TIK"/>
    <x v="1"/>
    <n v="13"/>
    <n v="2000000"/>
    <n v="26000000"/>
    <n v="0"/>
    <x v="0"/>
    <s v="ACT-311-TIK-0381"/>
  </r>
  <r>
    <s v="TRX-2026-0382"/>
    <x v="162"/>
    <x v="2"/>
    <s v="PRD-002"/>
    <x v="0"/>
    <x v="0"/>
    <s v="TIK"/>
    <x v="1"/>
    <n v="1"/>
    <n v="3500000"/>
    <n v="3500000"/>
    <n v="0.15"/>
    <x v="1"/>
    <s v="ACT-788-TIK-0382"/>
  </r>
  <r>
    <s v="TRX-2026-0383"/>
    <x v="180"/>
    <x v="0"/>
    <s v="PRD-001"/>
    <x v="7"/>
    <x v="0"/>
    <s v="SHO"/>
    <x v="2"/>
    <n v="12"/>
    <n v="1500000"/>
    <n v="18000000"/>
    <n v="0"/>
    <x v="3"/>
    <s v="ACT-549-SHO-0383"/>
  </r>
  <r>
    <s v="TRX-2026-0384"/>
    <x v="126"/>
    <x v="6"/>
    <s v="PRD-004"/>
    <x v="1"/>
    <x v="1"/>
    <s v="TOK"/>
    <x v="0"/>
    <n v="3"/>
    <n v="2500000"/>
    <n v="7500000"/>
    <n v="0.1"/>
    <x v="0"/>
    <s v="ACT-935-TOK-0384"/>
  </r>
  <r>
    <s v="TRX-2026-0385"/>
    <x v="86"/>
    <x v="3"/>
    <s v="PRD-006"/>
    <x v="4"/>
    <x v="4"/>
    <s v="TIK"/>
    <x v="1"/>
    <n v="10"/>
    <n v="750000"/>
    <n v="7500000"/>
    <n v="0.1"/>
    <x v="0"/>
    <s v="ACT-409-TIK-0385"/>
  </r>
  <r>
    <s v="TRX-2026-0386"/>
    <x v="122"/>
    <x v="1"/>
    <s v="PRD-004"/>
    <x v="1"/>
    <x v="1"/>
    <s v="BLI"/>
    <x v="3"/>
    <n v="5"/>
    <n v="2500000"/>
    <n v="12500000"/>
    <n v="0.1"/>
    <x v="0"/>
    <s v="ACT-670-BLI-0386"/>
  </r>
  <r>
    <s v="TRX-2026-0387"/>
    <x v="133"/>
    <x v="0"/>
    <s v="PRD-003"/>
    <x v="3"/>
    <x v="3"/>
    <s v="BLI"/>
    <x v="3"/>
    <n v="9"/>
    <n v="12000000"/>
    <n v="108000000"/>
    <n v="0.15"/>
    <x v="0"/>
    <s v="ACT-452-BLI-0387"/>
  </r>
  <r>
    <s v="TRX-2026-0388"/>
    <x v="145"/>
    <x v="0"/>
    <s v="PRD-007"/>
    <x v="2"/>
    <x v="2"/>
    <s v="TIK"/>
    <x v="1"/>
    <n v="6"/>
    <n v="2000000"/>
    <n v="12000000"/>
    <n v="0.15"/>
    <x v="3"/>
    <s v="ACT-252-TIK-0388"/>
  </r>
  <r>
    <s v="TRX-2026-0389"/>
    <x v="172"/>
    <x v="6"/>
    <s v="PRD-007"/>
    <x v="2"/>
    <x v="2"/>
    <s v="SHO"/>
    <x v="2"/>
    <n v="13"/>
    <n v="2000000"/>
    <n v="26000000"/>
    <n v="0.15"/>
    <x v="0"/>
    <s v="ACT-969-SHO-0389"/>
  </r>
  <r>
    <s v="TRX-2026-0390"/>
    <x v="64"/>
    <x v="1"/>
    <s v="PRD-005"/>
    <x v="5"/>
    <x v="1"/>
    <s v="SHO"/>
    <x v="2"/>
    <n v="13"/>
    <n v="5500000"/>
    <n v="71500000"/>
    <n v="0.15"/>
    <x v="0"/>
    <s v="ACT-675-SHO-0390"/>
  </r>
  <r>
    <s v="TRX-2026-0391"/>
    <x v="137"/>
    <x v="7"/>
    <s v="PRD-007"/>
    <x v="2"/>
    <x v="2"/>
    <s v="TIK"/>
    <x v="1"/>
    <n v="9"/>
    <n v="2000000"/>
    <n v="18000000"/>
    <n v="0.05"/>
    <x v="3"/>
    <s v="ACT-348-TIK-0391"/>
  </r>
  <r>
    <s v="TRX-2026-0392"/>
    <x v="156"/>
    <x v="6"/>
    <s v="PRD-004"/>
    <x v="1"/>
    <x v="1"/>
    <s v="LAZ"/>
    <x v="4"/>
    <n v="11"/>
    <n v="2500000"/>
    <n v="27500000"/>
    <n v="0"/>
    <x v="3"/>
    <s v="ACT-967-LAZ-0392"/>
  </r>
  <r>
    <s v="TRX-2026-0393"/>
    <x v="128"/>
    <x v="7"/>
    <s v="PRD-002"/>
    <x v="0"/>
    <x v="0"/>
    <s v="TIK"/>
    <x v="1"/>
    <n v="12"/>
    <n v="3500000"/>
    <n v="42000000"/>
    <n v="0.05"/>
    <x v="0"/>
    <s v="ACT-374-TIK-0393"/>
  </r>
  <r>
    <s v="TRX-2026-0394"/>
    <x v="181"/>
    <x v="7"/>
    <s v="PRD-001"/>
    <x v="7"/>
    <x v="0"/>
    <s v="TOK"/>
    <x v="0"/>
    <n v="4"/>
    <n v="1500000"/>
    <n v="6000000"/>
    <n v="0.05"/>
    <x v="3"/>
    <s v="ACT-313-TOK-0394"/>
  </r>
  <r>
    <s v="TRX-2026-0395"/>
    <x v="109"/>
    <x v="6"/>
    <s v="PRD-005"/>
    <x v="5"/>
    <x v="1"/>
    <s v="TOK"/>
    <x v="0"/>
    <n v="4"/>
    <n v="5500000"/>
    <n v="22000000"/>
    <n v="0.05"/>
    <x v="2"/>
    <s v="ACT-220-TOK-0395"/>
  </r>
  <r>
    <s v="TRX-2026-0396"/>
    <x v="75"/>
    <x v="3"/>
    <s v="PRD-008"/>
    <x v="6"/>
    <x v="5"/>
    <s v="SHO"/>
    <x v="2"/>
    <n v="12"/>
    <n v="4000000"/>
    <n v="48000000"/>
    <n v="0.05"/>
    <x v="3"/>
    <s v="ACT-345-SHO-0396"/>
  </r>
  <r>
    <s v="TRX-2026-0397"/>
    <x v="164"/>
    <x v="5"/>
    <s v="PRD-006"/>
    <x v="4"/>
    <x v="4"/>
    <s v="LAZ"/>
    <x v="4"/>
    <n v="7"/>
    <n v="750000"/>
    <n v="5250000"/>
    <n v="0.15"/>
    <x v="1"/>
    <s v="ACT-764-LAZ-0397"/>
  </r>
  <r>
    <s v="TRX-2026-0398"/>
    <x v="159"/>
    <x v="7"/>
    <s v="PRD-005"/>
    <x v="5"/>
    <x v="1"/>
    <s v="LAZ"/>
    <x v="4"/>
    <n v="6"/>
    <n v="5500000"/>
    <n v="33000000"/>
    <n v="0.15"/>
    <x v="3"/>
    <s v="ACT-200-LAZ-0398"/>
  </r>
  <r>
    <s v="TRX-2026-0399"/>
    <x v="69"/>
    <x v="3"/>
    <s v="PRD-008"/>
    <x v="6"/>
    <x v="5"/>
    <s v="LAZ"/>
    <x v="4"/>
    <n v="15"/>
    <n v="4000000"/>
    <n v="60000000"/>
    <n v="0.05"/>
    <x v="0"/>
    <s v="ACT-420-LAZ-0399"/>
  </r>
  <r>
    <s v="TRX-2026-0400"/>
    <x v="137"/>
    <x v="7"/>
    <s v="PRD-001"/>
    <x v="7"/>
    <x v="0"/>
    <s v="TIK"/>
    <x v="1"/>
    <n v="14"/>
    <n v="1500000"/>
    <n v="21000000"/>
    <n v="0.05"/>
    <x v="2"/>
    <s v="ACT-249-TIK-0400"/>
  </r>
  <r>
    <s v="TRX-2026-0401"/>
    <x v="91"/>
    <x v="2"/>
    <s v="PRD-005"/>
    <x v="5"/>
    <x v="1"/>
    <s v="TIK"/>
    <x v="1"/>
    <n v="15"/>
    <n v="5500000"/>
    <n v="82500000"/>
    <n v="0.15"/>
    <x v="0"/>
    <s v="ACT-256-TIK-0401"/>
  </r>
  <r>
    <s v="TRX-2026-0402"/>
    <x v="82"/>
    <x v="1"/>
    <s v="PRD-006"/>
    <x v="4"/>
    <x v="4"/>
    <s v="SHO"/>
    <x v="2"/>
    <n v="7"/>
    <n v="750000"/>
    <n v="5250000"/>
    <n v="0.05"/>
    <x v="3"/>
    <s v="ACT-663-SHO-0402"/>
  </r>
  <r>
    <s v="TRX-2026-0403"/>
    <x v="43"/>
    <x v="0"/>
    <s v="PRD-006"/>
    <x v="4"/>
    <x v="4"/>
    <s v="LAZ"/>
    <x v="4"/>
    <n v="13"/>
    <n v="750000"/>
    <n v="9750000"/>
    <n v="0.15"/>
    <x v="2"/>
    <s v="ACT-757-LAZ-0403"/>
  </r>
  <r>
    <s v="TRX-2026-0404"/>
    <x v="182"/>
    <x v="3"/>
    <s v="PRD-008"/>
    <x v="6"/>
    <x v="5"/>
    <s v="BLI"/>
    <x v="3"/>
    <n v="3"/>
    <n v="4000000"/>
    <n v="12000000"/>
    <n v="0.1"/>
    <x v="0"/>
    <s v="ACT-243-BLI-0404"/>
  </r>
  <r>
    <s v="TRX-2026-0405"/>
    <x v="153"/>
    <x v="3"/>
    <s v="PRD-008"/>
    <x v="6"/>
    <x v="5"/>
    <s v="SHO"/>
    <x v="2"/>
    <n v="15"/>
    <n v="4000000"/>
    <n v="60000000"/>
    <n v="0"/>
    <x v="1"/>
    <s v="ACT-134-SHO-0405"/>
  </r>
  <r>
    <s v="TRX-2026-0406"/>
    <x v="34"/>
    <x v="4"/>
    <s v="PRD-002"/>
    <x v="0"/>
    <x v="0"/>
    <s v="TOK"/>
    <x v="0"/>
    <n v="13"/>
    <n v="3500000"/>
    <n v="45500000"/>
    <n v="0"/>
    <x v="3"/>
    <s v="ACT-240-TOK-0406"/>
  </r>
  <r>
    <s v="TRX-2026-0407"/>
    <x v="77"/>
    <x v="4"/>
    <s v="PRD-004"/>
    <x v="1"/>
    <x v="1"/>
    <s v="TOK"/>
    <x v="0"/>
    <n v="12"/>
    <n v="2500000"/>
    <n v="30000000"/>
    <n v="0.05"/>
    <x v="0"/>
    <s v="ACT-323-TOK-0407"/>
  </r>
  <r>
    <s v="TRX-2026-0408"/>
    <x v="146"/>
    <x v="5"/>
    <s v="PRD-008"/>
    <x v="6"/>
    <x v="5"/>
    <s v="LAZ"/>
    <x v="4"/>
    <n v="1"/>
    <n v="4000000"/>
    <n v="4000000"/>
    <n v="0.15"/>
    <x v="2"/>
    <s v="ACT-599-LAZ-0408"/>
  </r>
  <r>
    <s v="TRX-2026-0409"/>
    <x v="91"/>
    <x v="2"/>
    <s v="PRD-001"/>
    <x v="7"/>
    <x v="0"/>
    <s v="TIK"/>
    <x v="1"/>
    <n v="9"/>
    <n v="1500000"/>
    <n v="13500000"/>
    <n v="0.15"/>
    <x v="0"/>
    <s v="ACT-117-TIK-0409"/>
  </r>
  <r>
    <s v="TRX-2026-0410"/>
    <x v="139"/>
    <x v="5"/>
    <s v="PRD-005"/>
    <x v="5"/>
    <x v="1"/>
    <s v="TIK"/>
    <x v="1"/>
    <n v="5"/>
    <n v="5500000"/>
    <n v="27500000"/>
    <n v="0"/>
    <x v="1"/>
    <s v="ACT-932-TIK-0410"/>
  </r>
  <r>
    <s v="TRX-2026-0411"/>
    <x v="37"/>
    <x v="0"/>
    <s v="PRD-007"/>
    <x v="2"/>
    <x v="2"/>
    <s v="SHO"/>
    <x v="2"/>
    <n v="2"/>
    <n v="2000000"/>
    <n v="4000000"/>
    <n v="0"/>
    <x v="1"/>
    <s v="ACT-252-SHO-0411"/>
  </r>
  <r>
    <s v="TRX-2026-0412"/>
    <x v="79"/>
    <x v="6"/>
    <s v="PRD-004"/>
    <x v="1"/>
    <x v="1"/>
    <s v="TIK"/>
    <x v="1"/>
    <n v="9"/>
    <n v="2500000"/>
    <n v="22500000"/>
    <n v="0.1"/>
    <x v="0"/>
    <s v="ACT-373-TIK-0412"/>
  </r>
  <r>
    <s v="TRX-2026-0413"/>
    <x v="183"/>
    <x v="3"/>
    <s v="PRD-007"/>
    <x v="2"/>
    <x v="2"/>
    <s v="TOK"/>
    <x v="0"/>
    <n v="6"/>
    <n v="2000000"/>
    <n v="12000000"/>
    <n v="0.15"/>
    <x v="3"/>
    <s v="ACT-678-TOK-0413"/>
  </r>
  <r>
    <s v="TRX-2026-0414"/>
    <x v="12"/>
    <x v="6"/>
    <s v="PRD-004"/>
    <x v="1"/>
    <x v="1"/>
    <s v="LAZ"/>
    <x v="4"/>
    <n v="11"/>
    <n v="2500000"/>
    <n v="27500000"/>
    <n v="0"/>
    <x v="2"/>
    <s v="ACT-978-LAZ-0414"/>
  </r>
  <r>
    <s v="TRX-2026-0415"/>
    <x v="184"/>
    <x v="0"/>
    <s v="PRD-001"/>
    <x v="7"/>
    <x v="0"/>
    <s v="TOK"/>
    <x v="0"/>
    <n v="7"/>
    <n v="1500000"/>
    <n v="10500000"/>
    <n v="0.15"/>
    <x v="3"/>
    <s v="ACT-665-TOK-0415"/>
  </r>
  <r>
    <s v="TRX-2026-0416"/>
    <x v="23"/>
    <x v="5"/>
    <s v="PRD-001"/>
    <x v="7"/>
    <x v="0"/>
    <s v="TOK"/>
    <x v="0"/>
    <n v="12"/>
    <n v="1500000"/>
    <n v="18000000"/>
    <n v="0.05"/>
    <x v="0"/>
    <s v="ACT-611-TOK-0416"/>
  </r>
  <r>
    <s v="TRX-2026-0417"/>
    <x v="6"/>
    <x v="4"/>
    <s v="PRD-007"/>
    <x v="2"/>
    <x v="2"/>
    <s v="LAZ"/>
    <x v="4"/>
    <n v="10"/>
    <n v="2000000"/>
    <n v="20000000"/>
    <n v="0"/>
    <x v="1"/>
    <s v="ACT-143-LAZ-0417"/>
  </r>
  <r>
    <s v="TRX-2026-0418"/>
    <x v="9"/>
    <x v="1"/>
    <s v="PRD-004"/>
    <x v="1"/>
    <x v="1"/>
    <s v="TIK"/>
    <x v="1"/>
    <n v="8"/>
    <n v="2500000"/>
    <n v="20000000"/>
    <n v="0.1"/>
    <x v="0"/>
    <s v="ACT-176-TIK-0418"/>
  </r>
  <r>
    <s v="TRX-2026-0419"/>
    <x v="119"/>
    <x v="0"/>
    <s v="PRD-005"/>
    <x v="5"/>
    <x v="1"/>
    <s v="TIK"/>
    <x v="1"/>
    <n v="10"/>
    <n v="5500000"/>
    <n v="55000000"/>
    <n v="0"/>
    <x v="0"/>
    <s v="ACT-970-TIK-0419"/>
  </r>
  <r>
    <s v="TRX-2026-0420"/>
    <x v="135"/>
    <x v="6"/>
    <s v="PRD-001"/>
    <x v="7"/>
    <x v="0"/>
    <s v="SHO"/>
    <x v="2"/>
    <n v="10"/>
    <n v="1500000"/>
    <n v="15000000"/>
    <n v="0.05"/>
    <x v="2"/>
    <s v="ACT-940-SHO-0420"/>
  </r>
  <r>
    <s v="TRX-2026-0421"/>
    <x v="41"/>
    <x v="7"/>
    <s v="PRD-002"/>
    <x v="0"/>
    <x v="0"/>
    <s v="LAZ"/>
    <x v="4"/>
    <n v="3"/>
    <n v="3500000"/>
    <n v="10500000"/>
    <n v="0.05"/>
    <x v="1"/>
    <s v="ACT-954-LAZ-0421"/>
  </r>
  <r>
    <s v="TRX-2026-0422"/>
    <x v="185"/>
    <x v="4"/>
    <s v="PRD-007"/>
    <x v="2"/>
    <x v="2"/>
    <s v="TIK"/>
    <x v="1"/>
    <n v="6"/>
    <n v="2000000"/>
    <n v="12000000"/>
    <n v="0.15"/>
    <x v="2"/>
    <s v="ACT-243-TIK-0422"/>
  </r>
  <r>
    <s v="TRX-2026-0423"/>
    <x v="104"/>
    <x v="3"/>
    <s v="PRD-002"/>
    <x v="0"/>
    <x v="0"/>
    <s v="TIK"/>
    <x v="1"/>
    <n v="12"/>
    <n v="3500000"/>
    <n v="42000000"/>
    <n v="0.1"/>
    <x v="0"/>
    <s v="ACT-200-TIK-0423"/>
  </r>
  <r>
    <s v="TRX-2026-0424"/>
    <x v="57"/>
    <x v="7"/>
    <s v="PRD-004"/>
    <x v="1"/>
    <x v="1"/>
    <s v="TOK"/>
    <x v="0"/>
    <n v="6"/>
    <n v="2500000"/>
    <n v="15000000"/>
    <n v="0.15"/>
    <x v="0"/>
    <s v="ACT-130-TOK-0424"/>
  </r>
  <r>
    <s v="TRX-2026-0425"/>
    <x v="186"/>
    <x v="0"/>
    <s v="PRD-005"/>
    <x v="5"/>
    <x v="1"/>
    <s v="BLI"/>
    <x v="3"/>
    <n v="8"/>
    <n v="5500000"/>
    <n v="44000000"/>
    <n v="0.05"/>
    <x v="0"/>
    <s v="ACT-666-BLI-0425"/>
  </r>
  <r>
    <s v="TRX-2026-0426"/>
    <x v="181"/>
    <x v="7"/>
    <s v="PRD-007"/>
    <x v="2"/>
    <x v="2"/>
    <s v="SHO"/>
    <x v="2"/>
    <n v="11"/>
    <n v="2000000"/>
    <n v="22000000"/>
    <n v="0.15"/>
    <x v="0"/>
    <s v="ACT-890-SHO-0426"/>
  </r>
  <r>
    <s v="TRX-2026-0427"/>
    <x v="100"/>
    <x v="0"/>
    <s v="PRD-005"/>
    <x v="5"/>
    <x v="1"/>
    <s v="SHO"/>
    <x v="2"/>
    <n v="12"/>
    <n v="5500000"/>
    <n v="66000000"/>
    <n v="0"/>
    <x v="0"/>
    <s v="ACT-374-SHO-0427"/>
  </r>
  <r>
    <s v="TRX-2026-0428"/>
    <x v="51"/>
    <x v="1"/>
    <s v="PRD-007"/>
    <x v="2"/>
    <x v="2"/>
    <s v="SHO"/>
    <x v="2"/>
    <n v="12"/>
    <n v="2000000"/>
    <n v="24000000"/>
    <n v="0.15"/>
    <x v="0"/>
    <s v="ACT-469-SHO-0428"/>
  </r>
  <r>
    <s v="TRX-2026-0429"/>
    <x v="81"/>
    <x v="2"/>
    <s v="PRD-002"/>
    <x v="0"/>
    <x v="0"/>
    <s v="TOK"/>
    <x v="0"/>
    <n v="5"/>
    <n v="3500000"/>
    <n v="17500000"/>
    <n v="0.15"/>
    <x v="0"/>
    <s v="ACT-879-TOK-0429"/>
  </r>
  <r>
    <s v="TRX-2026-0430"/>
    <x v="161"/>
    <x v="6"/>
    <s v="PRD-002"/>
    <x v="0"/>
    <x v="0"/>
    <s v="SHO"/>
    <x v="2"/>
    <n v="2"/>
    <n v="3500000"/>
    <n v="7000000"/>
    <n v="0.05"/>
    <x v="3"/>
    <s v="ACT-559-SHO-0430"/>
  </r>
  <r>
    <s v="TRX-2026-0431"/>
    <x v="13"/>
    <x v="5"/>
    <s v="PRD-007"/>
    <x v="2"/>
    <x v="2"/>
    <s v="TOK"/>
    <x v="0"/>
    <n v="1"/>
    <n v="2000000"/>
    <n v="2000000"/>
    <n v="0"/>
    <x v="0"/>
    <s v="ACT-667-TOK-0431"/>
  </r>
  <r>
    <s v="TRX-2026-0432"/>
    <x v="2"/>
    <x v="2"/>
    <s v="PRD-006"/>
    <x v="4"/>
    <x v="4"/>
    <s v="BLI"/>
    <x v="3"/>
    <n v="1"/>
    <n v="750000"/>
    <n v="750000"/>
    <n v="0.1"/>
    <x v="3"/>
    <s v="ACT-497-BLI-0432"/>
  </r>
  <r>
    <s v="TRX-2026-0433"/>
    <x v="187"/>
    <x v="3"/>
    <s v="PRD-002"/>
    <x v="0"/>
    <x v="0"/>
    <s v="TIK"/>
    <x v="1"/>
    <n v="15"/>
    <n v="3500000"/>
    <n v="52500000"/>
    <n v="0.05"/>
    <x v="1"/>
    <s v="ACT-633-TIK-0433"/>
  </r>
  <r>
    <s v="TRX-2026-0434"/>
    <x v="188"/>
    <x v="1"/>
    <s v="PRD-007"/>
    <x v="2"/>
    <x v="2"/>
    <s v="SHO"/>
    <x v="2"/>
    <n v="3"/>
    <n v="2000000"/>
    <n v="6000000"/>
    <n v="0.1"/>
    <x v="0"/>
    <s v="ACT-374-SHO-0434"/>
  </r>
  <r>
    <s v="TRX-2026-0435"/>
    <x v="88"/>
    <x v="5"/>
    <s v="PRD-003"/>
    <x v="3"/>
    <x v="3"/>
    <s v="TOK"/>
    <x v="0"/>
    <n v="3"/>
    <n v="12000000"/>
    <n v="36000000"/>
    <n v="0.15"/>
    <x v="0"/>
    <s v="ACT-531-TOK-0435"/>
  </r>
  <r>
    <s v="TRX-2026-0436"/>
    <x v="172"/>
    <x v="6"/>
    <s v="PRD-008"/>
    <x v="6"/>
    <x v="5"/>
    <s v="TOK"/>
    <x v="0"/>
    <n v="6"/>
    <n v="4000000"/>
    <n v="24000000"/>
    <n v="0.1"/>
    <x v="0"/>
    <s v="ACT-838-TOK-0436"/>
  </r>
  <r>
    <s v="TRX-2026-0437"/>
    <x v="16"/>
    <x v="0"/>
    <s v="PRD-008"/>
    <x v="6"/>
    <x v="5"/>
    <s v="TIK"/>
    <x v="1"/>
    <n v="10"/>
    <n v="4000000"/>
    <n v="40000000"/>
    <n v="0.05"/>
    <x v="3"/>
    <s v="ACT-209-TIK-0437"/>
  </r>
  <r>
    <s v="TRX-2026-0438"/>
    <x v="189"/>
    <x v="1"/>
    <s v="PRD-005"/>
    <x v="5"/>
    <x v="1"/>
    <s v="TOK"/>
    <x v="0"/>
    <n v="7"/>
    <n v="5500000"/>
    <n v="38500000"/>
    <n v="0.1"/>
    <x v="1"/>
    <s v="ACT-489-TOK-0438"/>
  </r>
  <r>
    <s v="TRX-2026-0439"/>
    <x v="69"/>
    <x v="3"/>
    <s v="PRD-006"/>
    <x v="4"/>
    <x v="4"/>
    <s v="BLI"/>
    <x v="3"/>
    <n v="6"/>
    <n v="750000"/>
    <n v="4500000"/>
    <n v="0.15"/>
    <x v="2"/>
    <s v="ACT-708-BLI-0439"/>
  </r>
  <r>
    <s v="TRX-2026-0440"/>
    <x v="189"/>
    <x v="1"/>
    <s v="PRD-005"/>
    <x v="5"/>
    <x v="1"/>
    <s v="LAZ"/>
    <x v="4"/>
    <n v="10"/>
    <n v="5500000"/>
    <n v="55000000"/>
    <n v="0.05"/>
    <x v="3"/>
    <s v="ACT-421-LAZ-0440"/>
  </r>
  <r>
    <s v="TRX-2026-0441"/>
    <x v="52"/>
    <x v="1"/>
    <s v="PRD-007"/>
    <x v="2"/>
    <x v="2"/>
    <s v="LAZ"/>
    <x v="4"/>
    <n v="5"/>
    <n v="2000000"/>
    <n v="10000000"/>
    <n v="0.15"/>
    <x v="1"/>
    <s v="ACT-900-LAZ-0441"/>
  </r>
  <r>
    <s v="TRX-2026-0442"/>
    <x v="12"/>
    <x v="6"/>
    <s v="PRD-006"/>
    <x v="4"/>
    <x v="4"/>
    <s v="BLI"/>
    <x v="3"/>
    <n v="5"/>
    <n v="750000"/>
    <n v="3750000"/>
    <n v="0.15"/>
    <x v="0"/>
    <s v="ACT-216-BLI-0442"/>
  </r>
  <r>
    <s v="TRX-2026-0443"/>
    <x v="40"/>
    <x v="5"/>
    <s v="PRD-004"/>
    <x v="1"/>
    <x v="1"/>
    <s v="TIK"/>
    <x v="1"/>
    <n v="9"/>
    <n v="2500000"/>
    <n v="22500000"/>
    <n v="0.05"/>
    <x v="2"/>
    <s v="ACT-886-TIK-0443"/>
  </r>
  <r>
    <s v="TRX-2026-0444"/>
    <x v="93"/>
    <x v="5"/>
    <s v="PRD-001"/>
    <x v="7"/>
    <x v="0"/>
    <s v="BLI"/>
    <x v="3"/>
    <n v="12"/>
    <n v="1500000"/>
    <n v="18000000"/>
    <n v="0.05"/>
    <x v="3"/>
    <s v="ACT-916-BLI-0444"/>
  </r>
  <r>
    <s v="TRX-2026-0445"/>
    <x v="113"/>
    <x v="6"/>
    <s v="PRD-002"/>
    <x v="0"/>
    <x v="0"/>
    <s v="BLI"/>
    <x v="3"/>
    <n v="11"/>
    <n v="3500000"/>
    <n v="38500000"/>
    <n v="0.15"/>
    <x v="0"/>
    <s v="ACT-748-BLI-0445"/>
  </r>
  <r>
    <s v="TRX-2026-0446"/>
    <x v="62"/>
    <x v="6"/>
    <s v="PRD-004"/>
    <x v="1"/>
    <x v="1"/>
    <s v="LAZ"/>
    <x v="4"/>
    <n v="11"/>
    <n v="2500000"/>
    <n v="27500000"/>
    <n v="0.05"/>
    <x v="2"/>
    <s v="ACT-533-LAZ-0446"/>
  </r>
  <r>
    <s v="TRX-2026-0447"/>
    <x v="104"/>
    <x v="3"/>
    <s v="PRD-007"/>
    <x v="2"/>
    <x v="2"/>
    <s v="TOK"/>
    <x v="0"/>
    <n v="8"/>
    <n v="2000000"/>
    <n v="16000000"/>
    <n v="0.15"/>
    <x v="1"/>
    <s v="ACT-510-TOK-0447"/>
  </r>
  <r>
    <s v="TRX-2026-0448"/>
    <x v="190"/>
    <x v="5"/>
    <s v="PRD-007"/>
    <x v="2"/>
    <x v="2"/>
    <s v="TIK"/>
    <x v="1"/>
    <n v="1"/>
    <n v="2000000"/>
    <n v="2000000"/>
    <n v="0.1"/>
    <x v="2"/>
    <s v="ACT-931-TIK-0448"/>
  </r>
  <r>
    <s v="TRX-2026-0449"/>
    <x v="7"/>
    <x v="5"/>
    <s v="PRD-002"/>
    <x v="0"/>
    <x v="0"/>
    <s v="TOK"/>
    <x v="0"/>
    <n v="13"/>
    <n v="3500000"/>
    <n v="45500000"/>
    <n v="0.05"/>
    <x v="2"/>
    <s v="ACT-780-TOK-0449"/>
  </r>
  <r>
    <s v="TRX-2026-0450"/>
    <x v="157"/>
    <x v="7"/>
    <s v="PRD-003"/>
    <x v="3"/>
    <x v="3"/>
    <s v="TIK"/>
    <x v="1"/>
    <n v="1"/>
    <n v="12000000"/>
    <n v="12000000"/>
    <n v="0.15"/>
    <x v="0"/>
    <s v="ACT-915-TIK-0450"/>
  </r>
  <r>
    <s v="TRX-2026-0451"/>
    <x v="85"/>
    <x v="7"/>
    <s v="PRD-002"/>
    <x v="0"/>
    <x v="0"/>
    <s v="TOK"/>
    <x v="0"/>
    <n v="2"/>
    <n v="3500000"/>
    <n v="7000000"/>
    <n v="0.1"/>
    <x v="0"/>
    <s v="ACT-622-TOK-0451"/>
  </r>
  <r>
    <s v="TRX-2026-0452"/>
    <x v="75"/>
    <x v="3"/>
    <s v="PRD-004"/>
    <x v="1"/>
    <x v="1"/>
    <s v="BLI"/>
    <x v="3"/>
    <n v="6"/>
    <n v="2500000"/>
    <n v="15000000"/>
    <n v="0.15"/>
    <x v="3"/>
    <s v="ACT-890-BLI-0452"/>
  </r>
  <r>
    <s v="TRX-2026-0453"/>
    <x v="191"/>
    <x v="0"/>
    <s v="PRD-003"/>
    <x v="3"/>
    <x v="3"/>
    <s v="LAZ"/>
    <x v="4"/>
    <n v="1"/>
    <n v="12000000"/>
    <n v="12000000"/>
    <n v="0.15"/>
    <x v="0"/>
    <s v="ACT-402-LAZ-0453"/>
  </r>
  <r>
    <s v="TRX-2026-0454"/>
    <x v="173"/>
    <x v="7"/>
    <s v="PRD-002"/>
    <x v="0"/>
    <x v="0"/>
    <s v="TOK"/>
    <x v="0"/>
    <n v="14"/>
    <n v="3500000"/>
    <n v="49000000"/>
    <n v="0.05"/>
    <x v="0"/>
    <s v="ACT-419-TOK-0454"/>
  </r>
  <r>
    <s v="TRX-2026-0455"/>
    <x v="192"/>
    <x v="6"/>
    <s v="PRD-008"/>
    <x v="6"/>
    <x v="5"/>
    <s v="SHO"/>
    <x v="2"/>
    <n v="9"/>
    <n v="4000000"/>
    <n v="36000000"/>
    <n v="0.15"/>
    <x v="0"/>
    <s v="ACT-587-SHO-0455"/>
  </r>
  <r>
    <s v="TRX-2026-0456"/>
    <x v="30"/>
    <x v="2"/>
    <s v="PRD-008"/>
    <x v="6"/>
    <x v="5"/>
    <s v="BLI"/>
    <x v="3"/>
    <n v="6"/>
    <n v="4000000"/>
    <n v="24000000"/>
    <n v="0"/>
    <x v="0"/>
    <s v="ACT-145-BLI-0456"/>
  </r>
  <r>
    <s v="TRX-2026-0457"/>
    <x v="160"/>
    <x v="3"/>
    <s v="PRD-002"/>
    <x v="0"/>
    <x v="0"/>
    <s v="TOK"/>
    <x v="0"/>
    <n v="14"/>
    <n v="3500000"/>
    <n v="49000000"/>
    <n v="0.1"/>
    <x v="2"/>
    <s v="ACT-211-TOK-0457"/>
  </r>
  <r>
    <s v="TRX-2026-0458"/>
    <x v="191"/>
    <x v="0"/>
    <s v="PRD-003"/>
    <x v="3"/>
    <x v="3"/>
    <s v="SHO"/>
    <x v="2"/>
    <n v="9"/>
    <n v="12000000"/>
    <n v="108000000"/>
    <n v="0.05"/>
    <x v="1"/>
    <s v="ACT-263-SHO-0458"/>
  </r>
  <r>
    <s v="TRX-2026-0459"/>
    <x v="152"/>
    <x v="6"/>
    <s v="PRD-007"/>
    <x v="2"/>
    <x v="2"/>
    <s v="BLI"/>
    <x v="3"/>
    <n v="4"/>
    <n v="2000000"/>
    <n v="8000000"/>
    <n v="0.15"/>
    <x v="2"/>
    <s v="ACT-288-BLI-0459"/>
  </r>
  <r>
    <s v="TRX-2026-0460"/>
    <x v="193"/>
    <x v="1"/>
    <s v="PRD-007"/>
    <x v="2"/>
    <x v="2"/>
    <s v="BLI"/>
    <x v="3"/>
    <n v="1"/>
    <n v="2000000"/>
    <n v="2000000"/>
    <n v="0.05"/>
    <x v="3"/>
    <s v="ACT-706-BLI-0460"/>
  </r>
  <r>
    <s v="TRX-2026-0461"/>
    <x v="194"/>
    <x v="7"/>
    <s v="PRD-007"/>
    <x v="2"/>
    <x v="2"/>
    <s v="TOK"/>
    <x v="0"/>
    <n v="12"/>
    <n v="2000000"/>
    <n v="24000000"/>
    <n v="0.05"/>
    <x v="0"/>
    <s v="ACT-385-TOK-0461"/>
  </r>
  <r>
    <s v="TRX-2026-0462"/>
    <x v="195"/>
    <x v="3"/>
    <s v="PRD-002"/>
    <x v="0"/>
    <x v="0"/>
    <s v="TIK"/>
    <x v="1"/>
    <n v="2"/>
    <n v="3500000"/>
    <n v="7000000"/>
    <n v="0.05"/>
    <x v="0"/>
    <s v="ACT-433-TIK-0462"/>
  </r>
  <r>
    <s v="TRX-2026-0463"/>
    <x v="82"/>
    <x v="1"/>
    <s v="PRD-008"/>
    <x v="6"/>
    <x v="5"/>
    <s v="TOK"/>
    <x v="0"/>
    <n v="5"/>
    <n v="4000000"/>
    <n v="20000000"/>
    <n v="0.15"/>
    <x v="1"/>
    <s v="ACT-754-TOK-0463"/>
  </r>
  <r>
    <s v="TRX-2026-0464"/>
    <x v="135"/>
    <x v="6"/>
    <s v="PRD-007"/>
    <x v="2"/>
    <x v="2"/>
    <s v="TIK"/>
    <x v="1"/>
    <n v="7"/>
    <n v="2000000"/>
    <n v="14000000"/>
    <n v="0"/>
    <x v="0"/>
    <s v="ACT-460-TIK-0464"/>
  </r>
  <r>
    <s v="TRX-2026-0465"/>
    <x v="6"/>
    <x v="4"/>
    <s v="PRD-008"/>
    <x v="6"/>
    <x v="5"/>
    <s v="TIK"/>
    <x v="1"/>
    <n v="3"/>
    <n v="4000000"/>
    <n v="12000000"/>
    <n v="0.1"/>
    <x v="1"/>
    <s v="ACT-704-TIK-0465"/>
  </r>
  <r>
    <s v="TRX-2026-0466"/>
    <x v="158"/>
    <x v="2"/>
    <s v="PRD-003"/>
    <x v="3"/>
    <x v="3"/>
    <s v="LAZ"/>
    <x v="4"/>
    <n v="2"/>
    <n v="12000000"/>
    <n v="24000000"/>
    <n v="0.05"/>
    <x v="0"/>
    <s v="ACT-219-LAZ-0466"/>
  </r>
  <r>
    <s v="TRX-2026-0467"/>
    <x v="196"/>
    <x v="1"/>
    <s v="PRD-006"/>
    <x v="4"/>
    <x v="4"/>
    <s v="SHO"/>
    <x v="2"/>
    <n v="9"/>
    <n v="750000"/>
    <n v="6750000"/>
    <n v="0.15"/>
    <x v="3"/>
    <s v="ACT-710-SHO-0467"/>
  </r>
  <r>
    <s v="TRX-2026-0468"/>
    <x v="1"/>
    <x v="1"/>
    <s v="PRD-007"/>
    <x v="2"/>
    <x v="2"/>
    <s v="BLI"/>
    <x v="3"/>
    <n v="3"/>
    <n v="2000000"/>
    <n v="6000000"/>
    <n v="0.15"/>
    <x v="2"/>
    <s v="ACT-650-BLI-0468"/>
  </r>
  <r>
    <s v="TRX-2026-0469"/>
    <x v="110"/>
    <x v="0"/>
    <s v="PRD-003"/>
    <x v="3"/>
    <x v="3"/>
    <s v="TIK"/>
    <x v="1"/>
    <n v="3"/>
    <n v="12000000"/>
    <n v="36000000"/>
    <n v="0.15"/>
    <x v="0"/>
    <s v="ACT-243-TIK-0469"/>
  </r>
  <r>
    <s v="TRX-2026-0470"/>
    <x v="193"/>
    <x v="1"/>
    <s v="PRD-006"/>
    <x v="4"/>
    <x v="4"/>
    <s v="BLI"/>
    <x v="3"/>
    <n v="10"/>
    <n v="750000"/>
    <n v="7500000"/>
    <n v="0"/>
    <x v="0"/>
    <s v="ACT-109-BLI-0470"/>
  </r>
  <r>
    <s v="TRX-2026-0471"/>
    <x v="35"/>
    <x v="5"/>
    <s v="PRD-003"/>
    <x v="3"/>
    <x v="3"/>
    <s v="SHO"/>
    <x v="2"/>
    <n v="14"/>
    <n v="12000000"/>
    <n v="168000000"/>
    <n v="0.15"/>
    <x v="1"/>
    <s v="ACT-617-SHO-0471"/>
  </r>
  <r>
    <s v="TRX-2026-0472"/>
    <x v="43"/>
    <x v="0"/>
    <s v="PRD-008"/>
    <x v="6"/>
    <x v="5"/>
    <s v="BLI"/>
    <x v="3"/>
    <n v="11"/>
    <n v="4000000"/>
    <n v="44000000"/>
    <n v="0.15"/>
    <x v="3"/>
    <s v="ACT-827-BLI-0472"/>
  </r>
  <r>
    <s v="TRX-2026-0473"/>
    <x v="77"/>
    <x v="4"/>
    <s v="PRD-008"/>
    <x v="6"/>
    <x v="5"/>
    <s v="BLI"/>
    <x v="3"/>
    <n v="3"/>
    <n v="4000000"/>
    <n v="12000000"/>
    <n v="0"/>
    <x v="1"/>
    <s v="ACT-131-BLI-0473"/>
  </r>
  <r>
    <s v="TRX-2026-0474"/>
    <x v="183"/>
    <x v="3"/>
    <s v="PRD-004"/>
    <x v="1"/>
    <x v="1"/>
    <s v="LAZ"/>
    <x v="4"/>
    <n v="1"/>
    <n v="2500000"/>
    <n v="2500000"/>
    <n v="0.1"/>
    <x v="0"/>
    <s v="ACT-650-LAZ-0474"/>
  </r>
  <r>
    <s v="TRX-2026-0475"/>
    <x v="71"/>
    <x v="6"/>
    <s v="PRD-003"/>
    <x v="3"/>
    <x v="3"/>
    <s v="BLI"/>
    <x v="3"/>
    <n v="10"/>
    <n v="12000000"/>
    <n v="120000000"/>
    <n v="0.15"/>
    <x v="1"/>
    <s v="ACT-623-BLI-0475"/>
  </r>
  <r>
    <s v="TRX-2026-0476"/>
    <x v="175"/>
    <x v="2"/>
    <s v="PRD-002"/>
    <x v="0"/>
    <x v="0"/>
    <s v="LAZ"/>
    <x v="4"/>
    <n v="13"/>
    <n v="3500000"/>
    <n v="45500000"/>
    <n v="0.1"/>
    <x v="1"/>
    <s v="ACT-942-LAZ-0476"/>
  </r>
  <r>
    <s v="TRX-2026-0477"/>
    <x v="24"/>
    <x v="3"/>
    <s v="PRD-001"/>
    <x v="7"/>
    <x v="0"/>
    <s v="BLI"/>
    <x v="3"/>
    <n v="9"/>
    <n v="1500000"/>
    <n v="13500000"/>
    <n v="0.05"/>
    <x v="3"/>
    <s v="ACT-204-BLI-0477"/>
  </r>
  <r>
    <s v="TRX-2026-0478"/>
    <x v="197"/>
    <x v="3"/>
    <s v="PRD-004"/>
    <x v="1"/>
    <x v="1"/>
    <s v="LAZ"/>
    <x v="4"/>
    <n v="14"/>
    <n v="2500000"/>
    <n v="35000000"/>
    <n v="0"/>
    <x v="3"/>
    <s v="ACT-369-LAZ-0478"/>
  </r>
  <r>
    <s v="TRX-2026-0479"/>
    <x v="179"/>
    <x v="6"/>
    <s v="PRD-002"/>
    <x v="0"/>
    <x v="0"/>
    <s v="BLI"/>
    <x v="3"/>
    <n v="14"/>
    <n v="3500000"/>
    <n v="49000000"/>
    <n v="0"/>
    <x v="0"/>
    <s v="ACT-314-BLI-0479"/>
  </r>
  <r>
    <s v="TRX-2026-0480"/>
    <x v="160"/>
    <x v="3"/>
    <s v="PRD-006"/>
    <x v="4"/>
    <x v="4"/>
    <s v="TIK"/>
    <x v="1"/>
    <n v="11"/>
    <n v="750000"/>
    <n v="8250000"/>
    <n v="0.15"/>
    <x v="0"/>
    <s v="ACT-730-TIK-0480"/>
  </r>
  <r>
    <s v="TRX-2026-0481"/>
    <x v="1"/>
    <x v="1"/>
    <s v="PRD-004"/>
    <x v="1"/>
    <x v="1"/>
    <s v="SHO"/>
    <x v="2"/>
    <n v="13"/>
    <n v="2500000"/>
    <n v="32500000"/>
    <n v="0"/>
    <x v="1"/>
    <s v="ACT-459-SHO-0481"/>
  </r>
  <r>
    <s v="TRX-2026-0482"/>
    <x v="190"/>
    <x v="5"/>
    <s v="PRD-005"/>
    <x v="5"/>
    <x v="1"/>
    <s v="TIK"/>
    <x v="1"/>
    <n v="9"/>
    <n v="5500000"/>
    <n v="49500000"/>
    <n v="0.05"/>
    <x v="0"/>
    <s v="ACT-820-TIK-0482"/>
  </r>
  <r>
    <s v="TRX-2026-0483"/>
    <x v="113"/>
    <x v="6"/>
    <s v="PRD-005"/>
    <x v="5"/>
    <x v="1"/>
    <s v="TIK"/>
    <x v="1"/>
    <n v="5"/>
    <n v="5500000"/>
    <n v="27500000"/>
    <n v="0"/>
    <x v="0"/>
    <s v="ACT-868-TIK-0483"/>
  </r>
  <r>
    <s v="TRX-2026-0484"/>
    <x v="53"/>
    <x v="3"/>
    <s v="PRD-007"/>
    <x v="2"/>
    <x v="2"/>
    <s v="TOK"/>
    <x v="0"/>
    <n v="5"/>
    <n v="2000000"/>
    <n v="10000000"/>
    <n v="0.05"/>
    <x v="2"/>
    <s v="ACT-986-TOK-0484"/>
  </r>
  <r>
    <s v="TRX-2026-0485"/>
    <x v="29"/>
    <x v="1"/>
    <s v="PRD-004"/>
    <x v="1"/>
    <x v="1"/>
    <s v="SHO"/>
    <x v="2"/>
    <n v="12"/>
    <n v="2500000"/>
    <n v="30000000"/>
    <n v="0.1"/>
    <x v="0"/>
    <s v="ACT-879-SHO-0485"/>
  </r>
  <r>
    <s v="TRX-2026-0486"/>
    <x v="77"/>
    <x v="4"/>
    <s v="PRD-007"/>
    <x v="2"/>
    <x v="2"/>
    <s v="BLI"/>
    <x v="3"/>
    <n v="3"/>
    <n v="2000000"/>
    <n v="6000000"/>
    <n v="0.1"/>
    <x v="2"/>
    <s v="ACT-524-BLI-0486"/>
  </r>
  <r>
    <s v="TRX-2026-0487"/>
    <x v="181"/>
    <x v="7"/>
    <s v="PRD-008"/>
    <x v="6"/>
    <x v="5"/>
    <s v="TOK"/>
    <x v="0"/>
    <n v="11"/>
    <n v="4000000"/>
    <n v="44000000"/>
    <n v="0"/>
    <x v="3"/>
    <s v="ACT-627-TOK-0487"/>
  </r>
  <r>
    <s v="TRX-2026-0488"/>
    <x v="75"/>
    <x v="3"/>
    <s v="PRD-005"/>
    <x v="5"/>
    <x v="1"/>
    <s v="LAZ"/>
    <x v="4"/>
    <n v="8"/>
    <n v="5500000"/>
    <n v="44000000"/>
    <n v="0.15"/>
    <x v="0"/>
    <s v="ACT-695-LAZ-0488"/>
  </r>
  <r>
    <s v="TRX-2026-0489"/>
    <x v="46"/>
    <x v="2"/>
    <s v="PRD-002"/>
    <x v="0"/>
    <x v="0"/>
    <s v="BLI"/>
    <x v="3"/>
    <n v="11"/>
    <n v="3500000"/>
    <n v="38500000"/>
    <n v="0.1"/>
    <x v="0"/>
    <s v="ACT-914-BLI-0489"/>
  </r>
  <r>
    <s v="TRX-2026-0490"/>
    <x v="190"/>
    <x v="5"/>
    <s v="PRD-007"/>
    <x v="2"/>
    <x v="2"/>
    <s v="SHO"/>
    <x v="2"/>
    <n v="7"/>
    <n v="2000000"/>
    <n v="14000000"/>
    <n v="0.05"/>
    <x v="3"/>
    <s v="ACT-374-SHO-0490"/>
  </r>
  <r>
    <s v="TRX-2026-0491"/>
    <x v="131"/>
    <x v="6"/>
    <s v="PRD-005"/>
    <x v="5"/>
    <x v="1"/>
    <s v="LAZ"/>
    <x v="4"/>
    <n v="9"/>
    <n v="5500000"/>
    <n v="49500000"/>
    <n v="0.05"/>
    <x v="1"/>
    <s v="ACT-972-LAZ-0491"/>
  </r>
  <r>
    <s v="TRX-2026-0492"/>
    <x v="35"/>
    <x v="5"/>
    <s v="PRD-006"/>
    <x v="4"/>
    <x v="4"/>
    <s v="TOK"/>
    <x v="0"/>
    <n v="1"/>
    <n v="750000"/>
    <n v="750000"/>
    <n v="0"/>
    <x v="2"/>
    <s v="ACT-902-TOK-0492"/>
  </r>
  <r>
    <s v="TRX-2026-0493"/>
    <x v="34"/>
    <x v="4"/>
    <s v="PRD-008"/>
    <x v="6"/>
    <x v="5"/>
    <s v="TOK"/>
    <x v="0"/>
    <n v="2"/>
    <n v="4000000"/>
    <n v="8000000"/>
    <n v="0.05"/>
    <x v="3"/>
    <s v="ACT-567-TOK-0493"/>
  </r>
  <r>
    <s v="TRX-2026-0494"/>
    <x v="46"/>
    <x v="2"/>
    <s v="PRD-007"/>
    <x v="2"/>
    <x v="2"/>
    <s v="SHO"/>
    <x v="2"/>
    <n v="12"/>
    <n v="2000000"/>
    <n v="24000000"/>
    <n v="0.05"/>
    <x v="2"/>
    <s v="ACT-409-SHO-0494"/>
  </r>
  <r>
    <s v="TRX-2026-0495"/>
    <x v="42"/>
    <x v="1"/>
    <s v="PRD-005"/>
    <x v="5"/>
    <x v="1"/>
    <s v="TOK"/>
    <x v="0"/>
    <n v="11"/>
    <n v="5500000"/>
    <n v="60500000"/>
    <n v="0.1"/>
    <x v="0"/>
    <s v="ACT-184-TOK-0495"/>
  </r>
  <r>
    <s v="TRX-2026-0496"/>
    <x v="136"/>
    <x v="7"/>
    <s v="PRD-003"/>
    <x v="3"/>
    <x v="3"/>
    <s v="TOK"/>
    <x v="0"/>
    <n v="7"/>
    <n v="12000000"/>
    <n v="84000000"/>
    <n v="0.1"/>
    <x v="2"/>
    <s v="ACT-816-TOK-0496"/>
  </r>
  <r>
    <s v="TRX-2026-0497"/>
    <x v="24"/>
    <x v="3"/>
    <s v="PRD-004"/>
    <x v="1"/>
    <x v="1"/>
    <s v="BLI"/>
    <x v="3"/>
    <n v="11"/>
    <n v="2500000"/>
    <n v="27500000"/>
    <n v="0"/>
    <x v="2"/>
    <s v="ACT-197-BLI-0497"/>
  </r>
  <r>
    <s v="TRX-2026-0498"/>
    <x v="46"/>
    <x v="2"/>
    <s v="PRD-004"/>
    <x v="1"/>
    <x v="1"/>
    <s v="BLI"/>
    <x v="3"/>
    <n v="2"/>
    <n v="2500000"/>
    <n v="5000000"/>
    <n v="0.05"/>
    <x v="1"/>
    <s v="ACT-331-BLI-0498"/>
  </r>
  <r>
    <s v="TRX-2026-0499"/>
    <x v="89"/>
    <x v="5"/>
    <s v="PRD-008"/>
    <x v="6"/>
    <x v="5"/>
    <s v="TOK"/>
    <x v="0"/>
    <n v="1"/>
    <n v="4000000"/>
    <n v="4000000"/>
    <n v="0.1"/>
    <x v="0"/>
    <s v="ACT-980-TOK-0499"/>
  </r>
  <r>
    <s v="TRX-2026-0500"/>
    <x v="198"/>
    <x v="7"/>
    <s v="PRD-003"/>
    <x v="3"/>
    <x v="3"/>
    <s v="BLI"/>
    <x v="3"/>
    <n v="2"/>
    <n v="12000000"/>
    <n v="24000000"/>
    <n v="0.05"/>
    <x v="3"/>
    <s v="ACT-191-BLI-0500"/>
  </r>
  <r>
    <s v="TRX-2026-0501"/>
    <x v="86"/>
    <x v="3"/>
    <s v="PRD-002"/>
    <x v="0"/>
    <x v="0"/>
    <s v="TOK"/>
    <x v="0"/>
    <n v="6"/>
    <n v="3500000"/>
    <n v="21000000"/>
    <n v="0.1"/>
    <x v="0"/>
    <s v="ACT-240-TOK-0501"/>
  </r>
  <r>
    <s v="TRX-2026-0502"/>
    <x v="36"/>
    <x v="7"/>
    <s v="PRD-003"/>
    <x v="3"/>
    <x v="3"/>
    <s v="SHO"/>
    <x v="2"/>
    <n v="2"/>
    <n v="12000000"/>
    <n v="24000000"/>
    <n v="0"/>
    <x v="1"/>
    <s v="ACT-765-SHO-0502"/>
  </r>
  <r>
    <s v="TRX-2026-0503"/>
    <x v="199"/>
    <x v="1"/>
    <s v="PRD-008"/>
    <x v="6"/>
    <x v="5"/>
    <s v="LAZ"/>
    <x v="4"/>
    <n v="12"/>
    <n v="4000000"/>
    <n v="48000000"/>
    <n v="0.05"/>
    <x v="2"/>
    <s v="ACT-866-LAZ-0503"/>
  </r>
  <r>
    <s v="TRX-2026-0504"/>
    <x v="48"/>
    <x v="1"/>
    <s v="PRD-007"/>
    <x v="2"/>
    <x v="2"/>
    <s v="TIK"/>
    <x v="1"/>
    <n v="11"/>
    <n v="2000000"/>
    <n v="22000000"/>
    <n v="0.15"/>
    <x v="0"/>
    <s v="ACT-188-TIK-0504"/>
  </r>
  <r>
    <s v="TRX-2026-0505"/>
    <x v="127"/>
    <x v="2"/>
    <s v="PRD-003"/>
    <x v="3"/>
    <x v="3"/>
    <s v="TOK"/>
    <x v="0"/>
    <n v="10"/>
    <n v="12000000"/>
    <n v="120000000"/>
    <n v="0.15"/>
    <x v="0"/>
    <s v="ACT-539-TOK-0505"/>
  </r>
  <r>
    <s v="TRX-2026-0506"/>
    <x v="135"/>
    <x v="6"/>
    <s v="PRD-003"/>
    <x v="3"/>
    <x v="3"/>
    <s v="SHO"/>
    <x v="2"/>
    <n v="5"/>
    <n v="12000000"/>
    <n v="60000000"/>
    <n v="0"/>
    <x v="0"/>
    <s v="ACT-666-SHO-0506"/>
  </r>
  <r>
    <s v="TRX-2026-0507"/>
    <x v="106"/>
    <x v="0"/>
    <s v="PRD-005"/>
    <x v="5"/>
    <x v="1"/>
    <s v="TOK"/>
    <x v="0"/>
    <n v="14"/>
    <n v="5500000"/>
    <n v="77000000"/>
    <n v="0.1"/>
    <x v="0"/>
    <s v="ACT-630-TOK-0507"/>
  </r>
  <r>
    <s v="TRX-2026-0508"/>
    <x v="166"/>
    <x v="0"/>
    <s v="PRD-004"/>
    <x v="1"/>
    <x v="1"/>
    <s v="BLI"/>
    <x v="3"/>
    <n v="5"/>
    <n v="2500000"/>
    <n v="12500000"/>
    <n v="0"/>
    <x v="0"/>
    <s v="ACT-606-BLI-0508"/>
  </r>
  <r>
    <s v="TRX-2026-0509"/>
    <x v="66"/>
    <x v="7"/>
    <s v="PRD-002"/>
    <x v="0"/>
    <x v="0"/>
    <s v="SHO"/>
    <x v="2"/>
    <n v="8"/>
    <n v="3500000"/>
    <n v="28000000"/>
    <n v="0"/>
    <x v="1"/>
    <s v="ACT-112-SHO-0509"/>
  </r>
  <r>
    <s v="TRX-2026-0510"/>
    <x v="95"/>
    <x v="7"/>
    <s v="PRD-006"/>
    <x v="4"/>
    <x v="4"/>
    <s v="SHO"/>
    <x v="2"/>
    <n v="7"/>
    <n v="750000"/>
    <n v="5250000"/>
    <n v="0.15"/>
    <x v="0"/>
    <s v="ACT-659-SHO-0510"/>
  </r>
  <r>
    <s v="TRX-2026-0511"/>
    <x v="50"/>
    <x v="0"/>
    <s v="PRD-003"/>
    <x v="3"/>
    <x v="3"/>
    <s v="BLI"/>
    <x v="3"/>
    <n v="13"/>
    <n v="12000000"/>
    <n v="156000000"/>
    <n v="0"/>
    <x v="0"/>
    <s v="ACT-701-BLI-0511"/>
  </r>
  <r>
    <s v="TRX-2026-0512"/>
    <x v="162"/>
    <x v="2"/>
    <s v="PRD-001"/>
    <x v="7"/>
    <x v="0"/>
    <s v="LAZ"/>
    <x v="4"/>
    <n v="4"/>
    <n v="1500000"/>
    <n v="6000000"/>
    <n v="0"/>
    <x v="0"/>
    <s v="ACT-908-LAZ-0512"/>
  </r>
  <r>
    <s v="TRX-2026-0513"/>
    <x v="41"/>
    <x v="7"/>
    <s v="PRD-005"/>
    <x v="5"/>
    <x v="1"/>
    <s v="TIK"/>
    <x v="1"/>
    <n v="13"/>
    <n v="5500000"/>
    <n v="71500000"/>
    <n v="0.15"/>
    <x v="3"/>
    <s v="ACT-818-TIK-0513"/>
  </r>
  <r>
    <s v="TRX-2026-0514"/>
    <x v="200"/>
    <x v="7"/>
    <s v="PRD-002"/>
    <x v="0"/>
    <x v="0"/>
    <s v="TIK"/>
    <x v="1"/>
    <n v="9"/>
    <n v="3500000"/>
    <n v="31500000"/>
    <n v="0.05"/>
    <x v="0"/>
    <s v="ACT-185-TIK-0514"/>
  </r>
  <r>
    <s v="TRX-2026-0515"/>
    <x v="112"/>
    <x v="6"/>
    <s v="PRD-002"/>
    <x v="0"/>
    <x v="0"/>
    <s v="TIK"/>
    <x v="1"/>
    <n v="15"/>
    <n v="3500000"/>
    <n v="52500000"/>
    <n v="0.05"/>
    <x v="0"/>
    <s v="ACT-649-TIK-0515"/>
  </r>
  <r>
    <s v="TRX-2026-0516"/>
    <x v="120"/>
    <x v="6"/>
    <s v="PRD-007"/>
    <x v="2"/>
    <x v="2"/>
    <s v="TIK"/>
    <x v="1"/>
    <n v="11"/>
    <n v="2000000"/>
    <n v="22000000"/>
    <n v="0"/>
    <x v="0"/>
    <s v="ACT-815-TIK-0516"/>
  </r>
  <r>
    <s v="TRX-2026-0517"/>
    <x v="57"/>
    <x v="7"/>
    <s v="PRD-004"/>
    <x v="1"/>
    <x v="1"/>
    <s v="TOK"/>
    <x v="0"/>
    <n v="4"/>
    <n v="2500000"/>
    <n v="10000000"/>
    <n v="0"/>
    <x v="3"/>
    <s v="ACT-218-TOK-0517"/>
  </r>
  <r>
    <s v="TRX-2026-0518"/>
    <x v="19"/>
    <x v="7"/>
    <s v="PRD-001"/>
    <x v="7"/>
    <x v="0"/>
    <s v="LAZ"/>
    <x v="4"/>
    <n v="11"/>
    <n v="1500000"/>
    <n v="16500000"/>
    <n v="0.05"/>
    <x v="0"/>
    <s v="ACT-112-LAZ-0518"/>
  </r>
  <r>
    <s v="TRX-2026-0519"/>
    <x v="151"/>
    <x v="3"/>
    <s v="PRD-003"/>
    <x v="3"/>
    <x v="3"/>
    <s v="TOK"/>
    <x v="0"/>
    <n v="3"/>
    <n v="12000000"/>
    <n v="36000000"/>
    <n v="0.15"/>
    <x v="0"/>
    <s v="ACT-635-TOK-0519"/>
  </r>
  <r>
    <s v="TRX-2026-0520"/>
    <x v="89"/>
    <x v="5"/>
    <s v="PRD-005"/>
    <x v="5"/>
    <x v="1"/>
    <s v="SHO"/>
    <x v="2"/>
    <n v="6"/>
    <n v="5500000"/>
    <n v="33000000"/>
    <n v="0.05"/>
    <x v="2"/>
    <s v="ACT-899-SHO-0520"/>
  </r>
  <r>
    <s v="TRX-2026-0521"/>
    <x v="105"/>
    <x v="6"/>
    <s v="PRD-002"/>
    <x v="0"/>
    <x v="0"/>
    <s v="TOK"/>
    <x v="0"/>
    <n v="6"/>
    <n v="3500000"/>
    <n v="21000000"/>
    <n v="0.15"/>
    <x v="0"/>
    <s v="ACT-636-TOK-0521"/>
  </r>
  <r>
    <s v="TRX-2026-0522"/>
    <x v="72"/>
    <x v="2"/>
    <s v="PRD-005"/>
    <x v="5"/>
    <x v="1"/>
    <s v="TIK"/>
    <x v="1"/>
    <n v="11"/>
    <n v="5500000"/>
    <n v="60500000"/>
    <n v="0"/>
    <x v="3"/>
    <s v="ACT-566-TIK-0522"/>
  </r>
  <r>
    <s v="TRX-2026-0523"/>
    <x v="201"/>
    <x v="5"/>
    <s v="PRD-006"/>
    <x v="4"/>
    <x v="4"/>
    <s v="TOK"/>
    <x v="0"/>
    <n v="8"/>
    <n v="750000"/>
    <n v="6000000"/>
    <n v="0.05"/>
    <x v="0"/>
    <s v="ACT-261-TOK-0523"/>
  </r>
  <r>
    <s v="TRX-2026-0524"/>
    <x v="156"/>
    <x v="6"/>
    <s v="PRD-002"/>
    <x v="0"/>
    <x v="0"/>
    <s v="TIK"/>
    <x v="1"/>
    <n v="11"/>
    <n v="3500000"/>
    <n v="38500000"/>
    <n v="0"/>
    <x v="0"/>
    <s v="ACT-858-TIK-0524"/>
  </r>
  <r>
    <s v="TRX-2026-0525"/>
    <x v="201"/>
    <x v="5"/>
    <s v="PRD-001"/>
    <x v="7"/>
    <x v="0"/>
    <s v="TOK"/>
    <x v="0"/>
    <n v="14"/>
    <n v="1500000"/>
    <n v="21000000"/>
    <n v="0"/>
    <x v="0"/>
    <s v="ACT-147-TOK-0525"/>
  </r>
  <r>
    <s v="TRX-2026-0526"/>
    <x v="102"/>
    <x v="5"/>
    <s v="PRD-006"/>
    <x v="4"/>
    <x v="4"/>
    <s v="BLI"/>
    <x v="3"/>
    <n v="15"/>
    <n v="750000"/>
    <n v="11250000"/>
    <n v="0.05"/>
    <x v="0"/>
    <s v="ACT-978-BLI-0526"/>
  </r>
  <r>
    <s v="TRX-2026-0527"/>
    <x v="202"/>
    <x v="2"/>
    <s v="PRD-007"/>
    <x v="2"/>
    <x v="2"/>
    <s v="SHO"/>
    <x v="2"/>
    <n v="6"/>
    <n v="2000000"/>
    <n v="12000000"/>
    <n v="0.05"/>
    <x v="3"/>
    <s v="ACT-837-SHO-0527"/>
  </r>
  <r>
    <s v="TRX-2026-0528"/>
    <x v="115"/>
    <x v="6"/>
    <s v="PRD-005"/>
    <x v="5"/>
    <x v="1"/>
    <s v="TOK"/>
    <x v="0"/>
    <n v="10"/>
    <n v="5500000"/>
    <n v="55000000"/>
    <n v="0.1"/>
    <x v="0"/>
    <s v="ACT-614-TOK-0528"/>
  </r>
  <r>
    <s v="TRX-2026-0529"/>
    <x v="125"/>
    <x v="0"/>
    <s v="PRD-001"/>
    <x v="7"/>
    <x v="0"/>
    <s v="SHO"/>
    <x v="2"/>
    <n v="4"/>
    <n v="1500000"/>
    <n v="6000000"/>
    <n v="0"/>
    <x v="3"/>
    <s v="ACT-170-SHO-0529"/>
  </r>
  <r>
    <s v="TRX-2026-0530"/>
    <x v="80"/>
    <x v="7"/>
    <s v="PRD-005"/>
    <x v="5"/>
    <x v="1"/>
    <s v="LAZ"/>
    <x v="4"/>
    <n v="6"/>
    <n v="5500000"/>
    <n v="33000000"/>
    <n v="0"/>
    <x v="1"/>
    <s v="ACT-567-LAZ-0530"/>
  </r>
  <r>
    <s v="TRX-2026-0531"/>
    <x v="169"/>
    <x v="2"/>
    <s v="PRD-006"/>
    <x v="4"/>
    <x v="4"/>
    <s v="SHO"/>
    <x v="2"/>
    <n v="5"/>
    <n v="750000"/>
    <n v="3750000"/>
    <n v="0.1"/>
    <x v="2"/>
    <s v="ACT-737-SHO-0531"/>
  </r>
  <r>
    <s v="TRX-2026-0532"/>
    <x v="12"/>
    <x v="6"/>
    <s v="PRD-008"/>
    <x v="6"/>
    <x v="5"/>
    <s v="LAZ"/>
    <x v="4"/>
    <n v="10"/>
    <n v="4000000"/>
    <n v="40000000"/>
    <n v="0.15"/>
    <x v="0"/>
    <s v="ACT-850-LAZ-0532"/>
  </r>
  <r>
    <s v="TRX-2026-0533"/>
    <x v="174"/>
    <x v="5"/>
    <s v="PRD-004"/>
    <x v="1"/>
    <x v="1"/>
    <s v="SHO"/>
    <x v="2"/>
    <n v="1"/>
    <n v="2500000"/>
    <n v="2500000"/>
    <n v="0.15"/>
    <x v="0"/>
    <s v="ACT-338-SHO-0533"/>
  </r>
  <r>
    <s v="TRX-2026-0534"/>
    <x v="177"/>
    <x v="5"/>
    <s v="PRD-006"/>
    <x v="4"/>
    <x v="4"/>
    <s v="TOK"/>
    <x v="0"/>
    <n v="6"/>
    <n v="750000"/>
    <n v="4500000"/>
    <n v="0"/>
    <x v="2"/>
    <s v="ACT-485-TOK-0534"/>
  </r>
  <r>
    <s v="TRX-2026-0535"/>
    <x v="185"/>
    <x v="4"/>
    <s v="PRD-005"/>
    <x v="5"/>
    <x v="1"/>
    <s v="TOK"/>
    <x v="0"/>
    <n v="4"/>
    <n v="5500000"/>
    <n v="22000000"/>
    <n v="0.05"/>
    <x v="3"/>
    <s v="ACT-603-TOK-0535"/>
  </r>
  <r>
    <s v="TRX-2026-0536"/>
    <x v="148"/>
    <x v="2"/>
    <s v="PRD-003"/>
    <x v="3"/>
    <x v="3"/>
    <s v="LAZ"/>
    <x v="4"/>
    <n v="2"/>
    <n v="12000000"/>
    <n v="24000000"/>
    <n v="0"/>
    <x v="0"/>
    <s v="ACT-965-LAZ-0536"/>
  </r>
  <r>
    <s v="TRX-2026-0537"/>
    <x v="149"/>
    <x v="5"/>
    <s v="PRD-007"/>
    <x v="2"/>
    <x v="2"/>
    <s v="LAZ"/>
    <x v="4"/>
    <n v="8"/>
    <n v="2000000"/>
    <n v="16000000"/>
    <n v="0"/>
    <x v="1"/>
    <s v="ACT-197-LAZ-0537"/>
  </r>
  <r>
    <s v="TRX-2026-0538"/>
    <x v="146"/>
    <x v="5"/>
    <s v="PRD-003"/>
    <x v="3"/>
    <x v="3"/>
    <s v="BLI"/>
    <x v="3"/>
    <n v="2"/>
    <n v="12000000"/>
    <n v="24000000"/>
    <n v="0"/>
    <x v="3"/>
    <s v="ACT-778-BLI-0538"/>
  </r>
  <r>
    <s v="TRX-2026-0539"/>
    <x v="29"/>
    <x v="1"/>
    <s v="PRD-004"/>
    <x v="1"/>
    <x v="1"/>
    <s v="LAZ"/>
    <x v="4"/>
    <n v="5"/>
    <n v="2500000"/>
    <n v="12500000"/>
    <n v="0.1"/>
    <x v="3"/>
    <s v="ACT-817-LAZ-0539"/>
  </r>
  <r>
    <s v="TRX-2026-0540"/>
    <x v="78"/>
    <x v="4"/>
    <s v="PRD-006"/>
    <x v="4"/>
    <x v="4"/>
    <s v="LAZ"/>
    <x v="4"/>
    <n v="8"/>
    <n v="750000"/>
    <n v="6000000"/>
    <n v="0.1"/>
    <x v="0"/>
    <s v="ACT-176-LAZ-0540"/>
  </r>
  <r>
    <s v="TRX-2026-0541"/>
    <x v="54"/>
    <x v="1"/>
    <s v="PRD-003"/>
    <x v="3"/>
    <x v="3"/>
    <s v="TIK"/>
    <x v="1"/>
    <n v="2"/>
    <n v="12000000"/>
    <n v="24000000"/>
    <n v="0.05"/>
    <x v="0"/>
    <s v="ACT-268-TIK-0541"/>
  </r>
  <r>
    <s v="TRX-2026-0542"/>
    <x v="25"/>
    <x v="7"/>
    <s v="PRD-008"/>
    <x v="6"/>
    <x v="5"/>
    <s v="LAZ"/>
    <x v="4"/>
    <n v="7"/>
    <n v="4000000"/>
    <n v="28000000"/>
    <n v="0"/>
    <x v="1"/>
    <s v="ACT-466-LAZ-0542"/>
  </r>
  <r>
    <s v="TRX-2026-0543"/>
    <x v="83"/>
    <x v="3"/>
    <s v="PRD-004"/>
    <x v="1"/>
    <x v="1"/>
    <s v="BLI"/>
    <x v="3"/>
    <n v="5"/>
    <n v="2500000"/>
    <n v="12500000"/>
    <n v="0.15"/>
    <x v="0"/>
    <s v="ACT-972-BLI-0543"/>
  </r>
  <r>
    <s v="TRX-2026-0544"/>
    <x v="99"/>
    <x v="2"/>
    <s v="PRD-002"/>
    <x v="0"/>
    <x v="0"/>
    <s v="SHO"/>
    <x v="2"/>
    <n v="13"/>
    <n v="3500000"/>
    <n v="45500000"/>
    <n v="0.1"/>
    <x v="2"/>
    <s v="ACT-813-SHO-0544"/>
  </r>
  <r>
    <s v="TRX-2026-0545"/>
    <x v="134"/>
    <x v="0"/>
    <s v="PRD-001"/>
    <x v="7"/>
    <x v="0"/>
    <s v="SHO"/>
    <x v="2"/>
    <n v="14"/>
    <n v="1500000"/>
    <n v="21000000"/>
    <n v="0.1"/>
    <x v="0"/>
    <s v="ACT-193-SHO-0545"/>
  </r>
  <r>
    <s v="TRX-2026-0546"/>
    <x v="155"/>
    <x v="3"/>
    <s v="PRD-004"/>
    <x v="1"/>
    <x v="1"/>
    <s v="LAZ"/>
    <x v="4"/>
    <n v="7"/>
    <n v="2500000"/>
    <n v="17500000"/>
    <n v="0"/>
    <x v="2"/>
    <s v="ACT-406-LAZ-0546"/>
  </r>
  <r>
    <s v="TRX-2026-0547"/>
    <x v="56"/>
    <x v="6"/>
    <s v="PRD-003"/>
    <x v="3"/>
    <x v="3"/>
    <s v="TOK"/>
    <x v="0"/>
    <n v="7"/>
    <n v="12000000"/>
    <n v="84000000"/>
    <n v="0.15"/>
    <x v="1"/>
    <s v="ACT-866-TOK-0547"/>
  </r>
  <r>
    <s v="TRX-2026-0548"/>
    <x v="93"/>
    <x v="5"/>
    <s v="PRD-004"/>
    <x v="1"/>
    <x v="1"/>
    <s v="TOK"/>
    <x v="0"/>
    <n v="8"/>
    <n v="2500000"/>
    <n v="20000000"/>
    <n v="0"/>
    <x v="0"/>
    <s v="ACT-224-TOK-0548"/>
  </r>
  <r>
    <s v="TRX-2026-0549"/>
    <x v="97"/>
    <x v="2"/>
    <s v="PRD-001"/>
    <x v="7"/>
    <x v="0"/>
    <s v="SHO"/>
    <x v="2"/>
    <n v="3"/>
    <n v="1500000"/>
    <n v="4500000"/>
    <n v="0.05"/>
    <x v="3"/>
    <s v="ACT-481-SHO-0549"/>
  </r>
  <r>
    <s v="TRX-2026-0550"/>
    <x v="119"/>
    <x v="0"/>
    <s v="PRD-002"/>
    <x v="0"/>
    <x v="0"/>
    <s v="TIK"/>
    <x v="1"/>
    <n v="10"/>
    <n v="3500000"/>
    <n v="35000000"/>
    <n v="0.1"/>
    <x v="0"/>
    <s v="ACT-122-TIK-0550"/>
  </r>
  <r>
    <s v="TRX-2026-0551"/>
    <x v="72"/>
    <x v="2"/>
    <s v="PRD-004"/>
    <x v="1"/>
    <x v="1"/>
    <s v="BLI"/>
    <x v="3"/>
    <n v="13"/>
    <n v="2500000"/>
    <n v="32500000"/>
    <n v="0.05"/>
    <x v="0"/>
    <s v="ACT-967-BLI-0551"/>
  </r>
  <r>
    <s v="TRX-2026-0552"/>
    <x v="78"/>
    <x v="4"/>
    <s v="PRD-006"/>
    <x v="4"/>
    <x v="4"/>
    <s v="TOK"/>
    <x v="0"/>
    <n v="1"/>
    <n v="750000"/>
    <n v="750000"/>
    <n v="0.15"/>
    <x v="0"/>
    <s v="ACT-272-TOK-0552"/>
  </r>
  <r>
    <s v="TRX-2026-0553"/>
    <x v="147"/>
    <x v="5"/>
    <s v="PRD-007"/>
    <x v="2"/>
    <x v="2"/>
    <s v="BLI"/>
    <x v="3"/>
    <n v="8"/>
    <n v="2000000"/>
    <n v="16000000"/>
    <n v="0"/>
    <x v="3"/>
    <s v="ACT-799-BLI-0553"/>
  </r>
  <r>
    <s v="TRX-2026-0554"/>
    <x v="194"/>
    <x v="7"/>
    <s v="PRD-003"/>
    <x v="3"/>
    <x v="3"/>
    <s v="LAZ"/>
    <x v="4"/>
    <n v="4"/>
    <n v="12000000"/>
    <n v="48000000"/>
    <n v="0.05"/>
    <x v="0"/>
    <s v="ACT-386-LAZ-0554"/>
  </r>
  <r>
    <s v="TRX-2026-0555"/>
    <x v="154"/>
    <x v="7"/>
    <s v="PRD-003"/>
    <x v="3"/>
    <x v="3"/>
    <s v="TOK"/>
    <x v="0"/>
    <n v="10"/>
    <n v="12000000"/>
    <n v="120000000"/>
    <n v="0.05"/>
    <x v="2"/>
    <s v="ACT-402-TOK-0555"/>
  </r>
  <r>
    <s v="TRX-2026-0556"/>
    <x v="203"/>
    <x v="5"/>
    <s v="PRD-007"/>
    <x v="2"/>
    <x v="2"/>
    <s v="TIK"/>
    <x v="1"/>
    <n v="8"/>
    <n v="2000000"/>
    <n v="16000000"/>
    <n v="0"/>
    <x v="0"/>
    <s v="ACT-386-TIK-0556"/>
  </r>
  <r>
    <s v="TRX-2026-0557"/>
    <x v="66"/>
    <x v="7"/>
    <s v="PRD-003"/>
    <x v="3"/>
    <x v="3"/>
    <s v="BLI"/>
    <x v="3"/>
    <n v="4"/>
    <n v="12000000"/>
    <n v="48000000"/>
    <n v="0.05"/>
    <x v="2"/>
    <s v="ACT-921-BLI-0557"/>
  </r>
  <r>
    <s v="TRX-2026-0558"/>
    <x v="174"/>
    <x v="5"/>
    <s v="PRD-001"/>
    <x v="7"/>
    <x v="0"/>
    <s v="BLI"/>
    <x v="3"/>
    <n v="13"/>
    <n v="1500000"/>
    <n v="19500000"/>
    <n v="0.1"/>
    <x v="3"/>
    <s v="ACT-657-BLI-0558"/>
  </r>
  <r>
    <s v="TRX-2026-0559"/>
    <x v="117"/>
    <x v="3"/>
    <s v="PRD-008"/>
    <x v="6"/>
    <x v="5"/>
    <s v="LAZ"/>
    <x v="4"/>
    <n v="15"/>
    <n v="4000000"/>
    <n v="60000000"/>
    <n v="0.1"/>
    <x v="3"/>
    <s v="ACT-376-LAZ-0559"/>
  </r>
  <r>
    <s v="TRX-2026-0560"/>
    <x v="196"/>
    <x v="1"/>
    <s v="PRD-001"/>
    <x v="7"/>
    <x v="0"/>
    <s v="LAZ"/>
    <x v="4"/>
    <n v="10"/>
    <n v="1500000"/>
    <n v="15000000"/>
    <n v="0.05"/>
    <x v="0"/>
    <s v="ACT-930-LAZ-0560"/>
  </r>
  <r>
    <s v="TRX-2026-0561"/>
    <x v="187"/>
    <x v="3"/>
    <s v="PRD-005"/>
    <x v="5"/>
    <x v="1"/>
    <s v="TOK"/>
    <x v="0"/>
    <n v="13"/>
    <n v="5500000"/>
    <n v="71500000"/>
    <n v="0.15"/>
    <x v="1"/>
    <s v="ACT-466-TOK-0561"/>
  </r>
  <r>
    <s v="TRX-2026-0562"/>
    <x v="70"/>
    <x v="3"/>
    <s v="PRD-004"/>
    <x v="1"/>
    <x v="1"/>
    <s v="SHO"/>
    <x v="2"/>
    <n v="2"/>
    <n v="2500000"/>
    <n v="5000000"/>
    <n v="0.05"/>
    <x v="2"/>
    <s v="ACT-346-SHO-0562"/>
  </r>
  <r>
    <s v="TRX-2026-0563"/>
    <x v="105"/>
    <x v="6"/>
    <s v="PRD-001"/>
    <x v="7"/>
    <x v="0"/>
    <s v="SHO"/>
    <x v="2"/>
    <n v="10"/>
    <n v="1500000"/>
    <n v="15000000"/>
    <n v="0.15"/>
    <x v="0"/>
    <s v="ACT-959-SHO-0563"/>
  </r>
  <r>
    <s v="TRX-2026-0564"/>
    <x v="6"/>
    <x v="4"/>
    <s v="PRD-003"/>
    <x v="3"/>
    <x v="3"/>
    <s v="SHO"/>
    <x v="2"/>
    <n v="4"/>
    <n v="12000000"/>
    <n v="48000000"/>
    <n v="0.1"/>
    <x v="2"/>
    <s v="ACT-814-SHO-0564"/>
  </r>
  <r>
    <s v="TRX-2026-0565"/>
    <x v="159"/>
    <x v="7"/>
    <s v="PRD-001"/>
    <x v="7"/>
    <x v="0"/>
    <s v="LAZ"/>
    <x v="4"/>
    <n v="10"/>
    <n v="1500000"/>
    <n v="15000000"/>
    <n v="0.05"/>
    <x v="1"/>
    <s v="ACT-292-LAZ-0565"/>
  </r>
  <r>
    <s v="TRX-2026-0566"/>
    <x v="34"/>
    <x v="4"/>
    <s v="PRD-008"/>
    <x v="6"/>
    <x v="5"/>
    <s v="TIK"/>
    <x v="1"/>
    <n v="5"/>
    <n v="4000000"/>
    <n v="20000000"/>
    <n v="0.05"/>
    <x v="3"/>
    <s v="ACT-138-TIK-0566"/>
  </r>
  <r>
    <s v="TRX-2026-0567"/>
    <x v="2"/>
    <x v="2"/>
    <s v="PRD-001"/>
    <x v="7"/>
    <x v="0"/>
    <s v="SHO"/>
    <x v="2"/>
    <n v="10"/>
    <n v="1500000"/>
    <n v="15000000"/>
    <n v="0.05"/>
    <x v="0"/>
    <s v="ACT-639-SHO-0567"/>
  </r>
  <r>
    <s v="TRX-2026-0568"/>
    <x v="74"/>
    <x v="5"/>
    <s v="PRD-001"/>
    <x v="7"/>
    <x v="0"/>
    <s v="LAZ"/>
    <x v="4"/>
    <n v="15"/>
    <n v="1500000"/>
    <n v="22500000"/>
    <n v="0.05"/>
    <x v="0"/>
    <s v="ACT-448-LAZ-0568"/>
  </r>
  <r>
    <s v="TRX-2026-0569"/>
    <x v="3"/>
    <x v="3"/>
    <s v="PRD-003"/>
    <x v="3"/>
    <x v="3"/>
    <s v="LAZ"/>
    <x v="4"/>
    <n v="1"/>
    <n v="12000000"/>
    <n v="12000000"/>
    <n v="0"/>
    <x v="0"/>
    <s v="ACT-700-LAZ-0569"/>
  </r>
  <r>
    <s v="TRX-2026-0570"/>
    <x v="180"/>
    <x v="0"/>
    <s v="PRD-003"/>
    <x v="3"/>
    <x v="3"/>
    <s v="TOK"/>
    <x v="0"/>
    <n v="14"/>
    <n v="12000000"/>
    <n v="168000000"/>
    <n v="0.1"/>
    <x v="0"/>
    <s v="ACT-482-TOK-0570"/>
  </r>
  <r>
    <s v="TRX-2026-0571"/>
    <x v="180"/>
    <x v="0"/>
    <s v="PRD-007"/>
    <x v="2"/>
    <x v="2"/>
    <s v="TIK"/>
    <x v="1"/>
    <n v="2"/>
    <n v="2000000"/>
    <n v="4000000"/>
    <n v="0.1"/>
    <x v="0"/>
    <s v="ACT-430-TIK-0571"/>
  </r>
  <r>
    <s v="TRX-2026-0572"/>
    <x v="189"/>
    <x v="1"/>
    <s v="PRD-003"/>
    <x v="3"/>
    <x v="3"/>
    <s v="BLI"/>
    <x v="3"/>
    <n v="13"/>
    <n v="12000000"/>
    <n v="156000000"/>
    <n v="0.15"/>
    <x v="2"/>
    <s v="ACT-424-BLI-0572"/>
  </r>
  <r>
    <s v="TRX-2026-0573"/>
    <x v="204"/>
    <x v="1"/>
    <s v="PRD-006"/>
    <x v="4"/>
    <x v="4"/>
    <s v="SHO"/>
    <x v="2"/>
    <n v="11"/>
    <n v="750000"/>
    <n v="8250000"/>
    <n v="0.05"/>
    <x v="3"/>
    <s v="ACT-414-SHO-0573"/>
  </r>
  <r>
    <s v="TRX-2026-0574"/>
    <x v="86"/>
    <x v="3"/>
    <s v="PRD-005"/>
    <x v="5"/>
    <x v="1"/>
    <s v="SHO"/>
    <x v="2"/>
    <n v="3"/>
    <n v="5500000"/>
    <n v="16500000"/>
    <n v="0"/>
    <x v="2"/>
    <s v="ACT-686-SHO-0574"/>
  </r>
  <r>
    <s v="TRX-2026-0575"/>
    <x v="171"/>
    <x v="7"/>
    <s v="PRD-001"/>
    <x v="7"/>
    <x v="0"/>
    <s v="SHO"/>
    <x v="2"/>
    <n v="10"/>
    <n v="1500000"/>
    <n v="15000000"/>
    <n v="0.1"/>
    <x v="1"/>
    <s v="ACT-326-SHO-0575"/>
  </r>
  <r>
    <s v="TRX-2026-0576"/>
    <x v="0"/>
    <x v="0"/>
    <s v="PRD-002"/>
    <x v="0"/>
    <x v="0"/>
    <s v="BLI"/>
    <x v="3"/>
    <n v="3"/>
    <n v="3500000"/>
    <n v="10500000"/>
    <n v="0.1"/>
    <x v="2"/>
    <s v="ACT-179-BLI-0576"/>
  </r>
  <r>
    <s v="TRX-2026-0577"/>
    <x v="205"/>
    <x v="6"/>
    <s v="PRD-006"/>
    <x v="4"/>
    <x v="4"/>
    <s v="LAZ"/>
    <x v="4"/>
    <n v="3"/>
    <n v="750000"/>
    <n v="2250000"/>
    <n v="0"/>
    <x v="2"/>
    <s v="ACT-786-LAZ-0577"/>
  </r>
  <r>
    <s v="TRX-2026-0578"/>
    <x v="0"/>
    <x v="0"/>
    <s v="PRD-006"/>
    <x v="4"/>
    <x v="4"/>
    <s v="BLI"/>
    <x v="3"/>
    <n v="1"/>
    <n v="750000"/>
    <n v="750000"/>
    <n v="0.1"/>
    <x v="0"/>
    <s v="ACT-355-BLI-0578"/>
  </r>
  <r>
    <s v="TRX-2026-0579"/>
    <x v="110"/>
    <x v="0"/>
    <s v="PRD-002"/>
    <x v="0"/>
    <x v="0"/>
    <s v="LAZ"/>
    <x v="4"/>
    <n v="5"/>
    <n v="3500000"/>
    <n v="17500000"/>
    <n v="0"/>
    <x v="2"/>
    <s v="ACT-101-LAZ-0579"/>
  </r>
  <r>
    <s v="TRX-2026-0580"/>
    <x v="206"/>
    <x v="2"/>
    <s v="PRD-007"/>
    <x v="2"/>
    <x v="2"/>
    <s v="BLI"/>
    <x v="3"/>
    <n v="12"/>
    <n v="2000000"/>
    <n v="24000000"/>
    <n v="0.15"/>
    <x v="0"/>
    <s v="ACT-523-BLI-0580"/>
  </r>
  <r>
    <s v="TRX-2026-0581"/>
    <x v="88"/>
    <x v="5"/>
    <s v="PRD-007"/>
    <x v="2"/>
    <x v="2"/>
    <s v="LAZ"/>
    <x v="4"/>
    <n v="9"/>
    <n v="2000000"/>
    <n v="18000000"/>
    <n v="0.15"/>
    <x v="0"/>
    <s v="ACT-948-LAZ-0581"/>
  </r>
  <r>
    <s v="TRX-2026-0582"/>
    <x v="74"/>
    <x v="5"/>
    <s v="PRD-004"/>
    <x v="1"/>
    <x v="1"/>
    <s v="SHO"/>
    <x v="2"/>
    <n v="8"/>
    <n v="2500000"/>
    <n v="20000000"/>
    <n v="0"/>
    <x v="0"/>
    <s v="ACT-401-SHO-0582"/>
  </r>
  <r>
    <s v="TRX-2026-0583"/>
    <x v="207"/>
    <x v="2"/>
    <s v="PRD-006"/>
    <x v="4"/>
    <x v="4"/>
    <s v="LAZ"/>
    <x v="4"/>
    <n v="2"/>
    <n v="750000"/>
    <n v="1500000"/>
    <n v="0"/>
    <x v="0"/>
    <s v="ACT-274-LAZ-0583"/>
  </r>
  <r>
    <s v="TRX-2026-0584"/>
    <x v="181"/>
    <x v="7"/>
    <s v="PRD-003"/>
    <x v="3"/>
    <x v="3"/>
    <s v="TOK"/>
    <x v="0"/>
    <n v="9"/>
    <n v="12000000"/>
    <n v="108000000"/>
    <n v="0"/>
    <x v="0"/>
    <s v="ACT-708-TOK-0584"/>
  </r>
  <r>
    <s v="TRX-2026-0585"/>
    <x v="168"/>
    <x v="0"/>
    <s v="PRD-008"/>
    <x v="6"/>
    <x v="5"/>
    <s v="TOK"/>
    <x v="0"/>
    <n v="7"/>
    <n v="4000000"/>
    <n v="28000000"/>
    <n v="0.05"/>
    <x v="1"/>
    <s v="ACT-544-TOK-0585"/>
  </r>
  <r>
    <s v="TRX-2026-0586"/>
    <x v="42"/>
    <x v="1"/>
    <s v="PRD-001"/>
    <x v="7"/>
    <x v="0"/>
    <s v="TOK"/>
    <x v="0"/>
    <n v="6"/>
    <n v="1500000"/>
    <n v="9000000"/>
    <n v="0.05"/>
    <x v="0"/>
    <s v="ACT-519-TOK-0586"/>
  </r>
  <r>
    <s v="TRX-2026-0587"/>
    <x v="37"/>
    <x v="0"/>
    <s v="PRD-005"/>
    <x v="5"/>
    <x v="1"/>
    <s v="LAZ"/>
    <x v="4"/>
    <n v="5"/>
    <n v="5500000"/>
    <n v="27500000"/>
    <n v="0.05"/>
    <x v="0"/>
    <s v="ACT-150-LAZ-0587"/>
  </r>
  <r>
    <s v="TRX-2026-0588"/>
    <x v="171"/>
    <x v="7"/>
    <s v="PRD-008"/>
    <x v="6"/>
    <x v="5"/>
    <s v="SHO"/>
    <x v="2"/>
    <n v="1"/>
    <n v="4000000"/>
    <n v="4000000"/>
    <n v="0.1"/>
    <x v="0"/>
    <s v="ACT-537-SHO-0588"/>
  </r>
  <r>
    <s v="TRX-2026-0589"/>
    <x v="141"/>
    <x v="2"/>
    <s v="PRD-005"/>
    <x v="5"/>
    <x v="1"/>
    <s v="TIK"/>
    <x v="1"/>
    <n v="8"/>
    <n v="5500000"/>
    <n v="44000000"/>
    <n v="0.05"/>
    <x v="0"/>
    <s v="ACT-126-TIK-0589"/>
  </r>
  <r>
    <s v="TRX-2026-0590"/>
    <x v="73"/>
    <x v="1"/>
    <s v="PRD-003"/>
    <x v="3"/>
    <x v="3"/>
    <s v="LAZ"/>
    <x v="4"/>
    <n v="2"/>
    <n v="12000000"/>
    <n v="24000000"/>
    <n v="0.15"/>
    <x v="0"/>
    <s v="ACT-415-LAZ-0590"/>
  </r>
  <r>
    <s v="TRX-2026-0591"/>
    <x v="117"/>
    <x v="3"/>
    <s v="PRD-007"/>
    <x v="2"/>
    <x v="2"/>
    <s v="BLI"/>
    <x v="3"/>
    <n v="8"/>
    <n v="2000000"/>
    <n v="16000000"/>
    <n v="0.1"/>
    <x v="0"/>
    <s v="ACT-757-BLI-0591"/>
  </r>
  <r>
    <s v="TRX-2026-0592"/>
    <x v="174"/>
    <x v="5"/>
    <s v="PRD-007"/>
    <x v="2"/>
    <x v="2"/>
    <s v="SHO"/>
    <x v="2"/>
    <n v="6"/>
    <n v="2000000"/>
    <n v="12000000"/>
    <n v="0.15"/>
    <x v="0"/>
    <s v="ACT-291-SHO-0592"/>
  </r>
  <r>
    <s v="TRX-2026-0593"/>
    <x v="154"/>
    <x v="7"/>
    <s v="PRD-001"/>
    <x v="7"/>
    <x v="0"/>
    <s v="LAZ"/>
    <x v="4"/>
    <n v="8"/>
    <n v="1500000"/>
    <n v="12000000"/>
    <n v="0.15"/>
    <x v="0"/>
    <s v="ACT-331-LAZ-0593"/>
  </r>
  <r>
    <s v="TRX-2026-0594"/>
    <x v="34"/>
    <x v="4"/>
    <s v="PRD-005"/>
    <x v="5"/>
    <x v="1"/>
    <s v="TIK"/>
    <x v="1"/>
    <n v="1"/>
    <n v="5500000"/>
    <n v="5500000"/>
    <n v="0.05"/>
    <x v="2"/>
    <s v="ACT-783-TIK-0594"/>
  </r>
  <r>
    <s v="TRX-2026-0595"/>
    <x v="30"/>
    <x v="2"/>
    <s v="PRD-002"/>
    <x v="0"/>
    <x v="0"/>
    <s v="LAZ"/>
    <x v="4"/>
    <n v="13"/>
    <n v="3500000"/>
    <n v="45500000"/>
    <n v="0.15"/>
    <x v="1"/>
    <s v="ACT-332-LAZ-0595"/>
  </r>
  <r>
    <s v="TRX-2026-0596"/>
    <x v="164"/>
    <x v="5"/>
    <s v="PRD-001"/>
    <x v="7"/>
    <x v="0"/>
    <s v="BLI"/>
    <x v="3"/>
    <n v="14"/>
    <n v="1500000"/>
    <n v="21000000"/>
    <n v="0.15"/>
    <x v="1"/>
    <s v="ACT-803-BLI-0596"/>
  </r>
  <r>
    <s v="TRX-2026-0597"/>
    <x v="23"/>
    <x v="5"/>
    <s v="PRD-004"/>
    <x v="1"/>
    <x v="1"/>
    <s v="BLI"/>
    <x v="3"/>
    <n v="5"/>
    <n v="2500000"/>
    <n v="12500000"/>
    <n v="0"/>
    <x v="3"/>
    <s v="ACT-974-BLI-0597"/>
  </r>
  <r>
    <s v="TRX-2026-0598"/>
    <x v="155"/>
    <x v="3"/>
    <s v="PRD-001"/>
    <x v="7"/>
    <x v="0"/>
    <s v="TIK"/>
    <x v="1"/>
    <n v="10"/>
    <n v="1500000"/>
    <n v="15000000"/>
    <n v="0.05"/>
    <x v="0"/>
    <s v="ACT-875-TIK-0598"/>
  </r>
  <r>
    <s v="TRX-2026-0599"/>
    <x v="154"/>
    <x v="7"/>
    <s v="PRD-003"/>
    <x v="3"/>
    <x v="3"/>
    <s v="SHO"/>
    <x v="2"/>
    <n v="4"/>
    <n v="12000000"/>
    <n v="48000000"/>
    <n v="0.05"/>
    <x v="0"/>
    <s v="ACT-143-SHO-0599"/>
  </r>
  <r>
    <s v="TRX-2026-0600"/>
    <x v="198"/>
    <x v="7"/>
    <s v="PRD-002"/>
    <x v="0"/>
    <x v="0"/>
    <s v="BLI"/>
    <x v="3"/>
    <n v="4"/>
    <n v="3500000"/>
    <n v="14000000"/>
    <n v="0.05"/>
    <x v="1"/>
    <s v="ACT-364-BLI-0600"/>
  </r>
  <r>
    <s v="TRX-2026-0601"/>
    <x v="115"/>
    <x v="6"/>
    <s v="PRD-002"/>
    <x v="0"/>
    <x v="0"/>
    <s v="TOK"/>
    <x v="0"/>
    <n v="7"/>
    <n v="3500000"/>
    <n v="24500000"/>
    <n v="0.15"/>
    <x v="1"/>
    <s v="ACT-433-TOK-0601"/>
  </r>
  <r>
    <s v="TRX-2026-0602"/>
    <x v="208"/>
    <x v="4"/>
    <s v="PRD-005"/>
    <x v="5"/>
    <x v="1"/>
    <s v="TIK"/>
    <x v="1"/>
    <n v="8"/>
    <n v="5500000"/>
    <n v="44000000"/>
    <n v="0"/>
    <x v="2"/>
    <s v="ACT-738-TIK-0602"/>
  </r>
  <r>
    <s v="TRX-2026-0603"/>
    <x v="26"/>
    <x v="5"/>
    <s v="PRD-007"/>
    <x v="2"/>
    <x v="2"/>
    <s v="TOK"/>
    <x v="0"/>
    <n v="7"/>
    <n v="2000000"/>
    <n v="14000000"/>
    <n v="0.05"/>
    <x v="0"/>
    <s v="ACT-680-TOK-0603"/>
  </r>
  <r>
    <s v="TRX-2026-0604"/>
    <x v="26"/>
    <x v="5"/>
    <s v="PRD-002"/>
    <x v="0"/>
    <x v="0"/>
    <s v="TOK"/>
    <x v="0"/>
    <n v="10"/>
    <n v="3500000"/>
    <n v="35000000"/>
    <n v="0"/>
    <x v="0"/>
    <s v="ACT-988-TOK-0604"/>
  </r>
  <r>
    <s v="TRX-2026-0605"/>
    <x v="7"/>
    <x v="5"/>
    <s v="PRD-006"/>
    <x v="4"/>
    <x v="4"/>
    <s v="BLI"/>
    <x v="3"/>
    <n v="5"/>
    <n v="750000"/>
    <n v="3750000"/>
    <n v="0.15"/>
    <x v="2"/>
    <s v="ACT-597-BLI-0605"/>
  </r>
  <r>
    <s v="TRX-2026-0606"/>
    <x v="147"/>
    <x v="5"/>
    <s v="PRD-008"/>
    <x v="6"/>
    <x v="5"/>
    <s v="TOK"/>
    <x v="0"/>
    <n v="3"/>
    <n v="4000000"/>
    <n v="12000000"/>
    <n v="0.1"/>
    <x v="3"/>
    <s v="ACT-247-TOK-0606"/>
  </r>
  <r>
    <s v="TRX-2026-0607"/>
    <x v="100"/>
    <x v="0"/>
    <s v="PRD-007"/>
    <x v="2"/>
    <x v="2"/>
    <s v="TOK"/>
    <x v="0"/>
    <n v="7"/>
    <n v="2000000"/>
    <n v="14000000"/>
    <n v="0.1"/>
    <x v="2"/>
    <s v="ACT-343-TOK-0607"/>
  </r>
  <r>
    <s v="TRX-2026-0608"/>
    <x v="206"/>
    <x v="2"/>
    <s v="PRD-008"/>
    <x v="6"/>
    <x v="5"/>
    <s v="LAZ"/>
    <x v="4"/>
    <n v="15"/>
    <n v="4000000"/>
    <n v="60000000"/>
    <n v="0.1"/>
    <x v="0"/>
    <s v="ACT-445-LAZ-0608"/>
  </r>
  <r>
    <s v="TRX-2026-0609"/>
    <x v="209"/>
    <x v="3"/>
    <s v="PRD-005"/>
    <x v="5"/>
    <x v="1"/>
    <s v="LAZ"/>
    <x v="4"/>
    <n v="5"/>
    <n v="5500000"/>
    <n v="27500000"/>
    <n v="0.15"/>
    <x v="2"/>
    <s v="ACT-801-LAZ-0609"/>
  </r>
  <r>
    <s v="TRX-2026-0610"/>
    <x v="127"/>
    <x v="2"/>
    <s v="PRD-004"/>
    <x v="1"/>
    <x v="1"/>
    <s v="SHO"/>
    <x v="2"/>
    <n v="5"/>
    <n v="2500000"/>
    <n v="12500000"/>
    <n v="0.15"/>
    <x v="0"/>
    <s v="ACT-375-SHO-0610"/>
  </r>
  <r>
    <s v="TRX-2026-0611"/>
    <x v="31"/>
    <x v="3"/>
    <s v="PRD-007"/>
    <x v="2"/>
    <x v="2"/>
    <s v="TIK"/>
    <x v="1"/>
    <n v="11"/>
    <n v="2000000"/>
    <n v="22000000"/>
    <n v="0"/>
    <x v="0"/>
    <s v="ACT-552-TIK-0611"/>
  </r>
  <r>
    <s v="TRX-2026-0612"/>
    <x v="101"/>
    <x v="1"/>
    <s v="PRD-007"/>
    <x v="2"/>
    <x v="2"/>
    <s v="BLI"/>
    <x v="3"/>
    <n v="13"/>
    <n v="2000000"/>
    <n v="26000000"/>
    <n v="0.1"/>
    <x v="0"/>
    <s v="ACT-627-BLI-0612"/>
  </r>
  <r>
    <s v="TRX-2026-0613"/>
    <x v="104"/>
    <x v="3"/>
    <s v="PRD-003"/>
    <x v="3"/>
    <x v="3"/>
    <s v="TOK"/>
    <x v="0"/>
    <n v="5"/>
    <n v="12000000"/>
    <n v="60000000"/>
    <n v="0.15"/>
    <x v="0"/>
    <s v="ACT-899-TOK-0613"/>
  </r>
  <r>
    <s v="TRX-2026-0614"/>
    <x v="185"/>
    <x v="4"/>
    <s v="PRD-001"/>
    <x v="7"/>
    <x v="0"/>
    <s v="SHO"/>
    <x v="2"/>
    <n v="4"/>
    <n v="1500000"/>
    <n v="6000000"/>
    <n v="0.05"/>
    <x v="0"/>
    <s v="ACT-355-SHO-0614"/>
  </r>
  <r>
    <s v="TRX-2026-0615"/>
    <x v="14"/>
    <x v="2"/>
    <s v="PRD-008"/>
    <x v="6"/>
    <x v="5"/>
    <s v="TOK"/>
    <x v="0"/>
    <n v="15"/>
    <n v="4000000"/>
    <n v="60000000"/>
    <n v="0.1"/>
    <x v="2"/>
    <s v="ACT-303-TOK-0615"/>
  </r>
  <r>
    <s v="TRX-2026-0616"/>
    <x v="129"/>
    <x v="6"/>
    <s v="PRD-006"/>
    <x v="4"/>
    <x v="4"/>
    <s v="BLI"/>
    <x v="3"/>
    <n v="9"/>
    <n v="750000"/>
    <n v="6750000"/>
    <n v="0.15"/>
    <x v="2"/>
    <s v="ACT-226-BLI-0616"/>
  </r>
  <r>
    <s v="TRX-2026-0617"/>
    <x v="50"/>
    <x v="0"/>
    <s v="PRD-001"/>
    <x v="7"/>
    <x v="0"/>
    <s v="SHO"/>
    <x v="2"/>
    <n v="6"/>
    <n v="1500000"/>
    <n v="9000000"/>
    <n v="0.15"/>
    <x v="1"/>
    <s v="ACT-556-SHO-0617"/>
  </r>
  <r>
    <s v="TRX-2026-0618"/>
    <x v="52"/>
    <x v="1"/>
    <s v="PRD-008"/>
    <x v="6"/>
    <x v="5"/>
    <s v="TIK"/>
    <x v="1"/>
    <n v="9"/>
    <n v="4000000"/>
    <n v="36000000"/>
    <n v="0.1"/>
    <x v="0"/>
    <s v="ACT-267-TIK-0618"/>
  </r>
  <r>
    <s v="TRX-2026-0619"/>
    <x v="34"/>
    <x v="4"/>
    <s v="PRD-005"/>
    <x v="5"/>
    <x v="1"/>
    <s v="TOK"/>
    <x v="0"/>
    <n v="5"/>
    <n v="5500000"/>
    <n v="27500000"/>
    <n v="0"/>
    <x v="3"/>
    <s v="ACT-150-TOK-0619"/>
  </r>
  <r>
    <s v="TRX-2026-0620"/>
    <x v="165"/>
    <x v="1"/>
    <s v="PRD-004"/>
    <x v="1"/>
    <x v="1"/>
    <s v="SHO"/>
    <x v="2"/>
    <n v="11"/>
    <n v="2500000"/>
    <n v="27500000"/>
    <n v="0.05"/>
    <x v="2"/>
    <s v="ACT-311-SHO-0620"/>
  </r>
  <r>
    <s v="TRX-2026-0621"/>
    <x v="105"/>
    <x v="6"/>
    <s v="PRD-007"/>
    <x v="2"/>
    <x v="2"/>
    <s v="TIK"/>
    <x v="1"/>
    <n v="1"/>
    <n v="2000000"/>
    <n v="2000000"/>
    <n v="0"/>
    <x v="3"/>
    <s v="ACT-235-TIK-0621"/>
  </r>
  <r>
    <s v="TRX-2026-0622"/>
    <x v="84"/>
    <x v="0"/>
    <s v="PRD-003"/>
    <x v="3"/>
    <x v="3"/>
    <s v="TIK"/>
    <x v="1"/>
    <n v="13"/>
    <n v="12000000"/>
    <n v="156000000"/>
    <n v="0"/>
    <x v="0"/>
    <s v="ACT-358-TIK-0622"/>
  </r>
  <r>
    <s v="TRX-2026-0623"/>
    <x v="166"/>
    <x v="0"/>
    <s v="PRD-005"/>
    <x v="5"/>
    <x v="1"/>
    <s v="LAZ"/>
    <x v="4"/>
    <n v="7"/>
    <n v="5500000"/>
    <n v="38500000"/>
    <n v="0.15"/>
    <x v="0"/>
    <s v="ACT-570-LAZ-0623"/>
  </r>
  <r>
    <s v="TRX-2026-0624"/>
    <x v="45"/>
    <x v="6"/>
    <s v="PRD-004"/>
    <x v="1"/>
    <x v="1"/>
    <s v="BLI"/>
    <x v="3"/>
    <n v="5"/>
    <n v="2500000"/>
    <n v="12500000"/>
    <n v="0.15"/>
    <x v="1"/>
    <s v="ACT-204-BLI-0624"/>
  </r>
  <r>
    <s v="TRX-2026-0625"/>
    <x v="67"/>
    <x v="2"/>
    <s v="PRD-006"/>
    <x v="4"/>
    <x v="4"/>
    <s v="TIK"/>
    <x v="1"/>
    <n v="11"/>
    <n v="750000"/>
    <n v="8250000"/>
    <n v="0.1"/>
    <x v="0"/>
    <s v="ACT-800-TIK-0625"/>
  </r>
  <r>
    <s v="TRX-2026-0626"/>
    <x v="81"/>
    <x v="2"/>
    <s v="PRD-008"/>
    <x v="6"/>
    <x v="5"/>
    <s v="TOK"/>
    <x v="0"/>
    <n v="6"/>
    <n v="4000000"/>
    <n v="24000000"/>
    <n v="0.1"/>
    <x v="2"/>
    <s v="ACT-432-TOK-0626"/>
  </r>
  <r>
    <s v="TRX-2026-0627"/>
    <x v="8"/>
    <x v="4"/>
    <s v="PRD-005"/>
    <x v="5"/>
    <x v="1"/>
    <s v="LAZ"/>
    <x v="4"/>
    <n v="11"/>
    <n v="5500000"/>
    <n v="60500000"/>
    <n v="0.1"/>
    <x v="0"/>
    <s v="ACT-253-LAZ-0627"/>
  </r>
  <r>
    <s v="TRX-2026-0628"/>
    <x v="89"/>
    <x v="5"/>
    <s v="PRD-004"/>
    <x v="1"/>
    <x v="1"/>
    <s v="TOK"/>
    <x v="0"/>
    <n v="13"/>
    <n v="2500000"/>
    <n v="32500000"/>
    <n v="0.15"/>
    <x v="2"/>
    <s v="ACT-427-TOK-0628"/>
  </r>
  <r>
    <s v="TRX-2026-0629"/>
    <x v="50"/>
    <x v="0"/>
    <s v="PRD-003"/>
    <x v="3"/>
    <x v="3"/>
    <s v="TOK"/>
    <x v="0"/>
    <n v="11"/>
    <n v="12000000"/>
    <n v="132000000"/>
    <n v="0.15"/>
    <x v="0"/>
    <s v="ACT-365-TOK-0629"/>
  </r>
  <r>
    <s v="TRX-2026-0630"/>
    <x v="132"/>
    <x v="7"/>
    <s v="PRD-007"/>
    <x v="2"/>
    <x v="2"/>
    <s v="BLI"/>
    <x v="3"/>
    <n v="12"/>
    <n v="2000000"/>
    <n v="24000000"/>
    <n v="0"/>
    <x v="1"/>
    <s v="ACT-825-BLI-0630"/>
  </r>
  <r>
    <s v="TRX-2026-0631"/>
    <x v="147"/>
    <x v="5"/>
    <s v="PRD-004"/>
    <x v="1"/>
    <x v="1"/>
    <s v="LAZ"/>
    <x v="4"/>
    <n v="12"/>
    <n v="2500000"/>
    <n v="30000000"/>
    <n v="0.05"/>
    <x v="2"/>
    <s v="ACT-647-LAZ-0631"/>
  </r>
  <r>
    <s v="TRX-2026-0632"/>
    <x v="0"/>
    <x v="0"/>
    <s v="PRD-008"/>
    <x v="6"/>
    <x v="5"/>
    <s v="LAZ"/>
    <x v="4"/>
    <n v="9"/>
    <n v="4000000"/>
    <n v="36000000"/>
    <n v="0.1"/>
    <x v="0"/>
    <s v="ACT-960-LAZ-0632"/>
  </r>
  <r>
    <s v="TRX-2026-0633"/>
    <x v="55"/>
    <x v="0"/>
    <s v="PRD-003"/>
    <x v="3"/>
    <x v="3"/>
    <s v="LAZ"/>
    <x v="4"/>
    <n v="2"/>
    <n v="12000000"/>
    <n v="24000000"/>
    <n v="0.15"/>
    <x v="0"/>
    <s v="ACT-858-LAZ-0633"/>
  </r>
  <r>
    <s v="TRX-2026-0634"/>
    <x v="56"/>
    <x v="6"/>
    <s v="PRD-003"/>
    <x v="3"/>
    <x v="3"/>
    <s v="LAZ"/>
    <x v="4"/>
    <n v="11"/>
    <n v="12000000"/>
    <n v="132000000"/>
    <n v="0"/>
    <x v="0"/>
    <s v="ACT-463-LAZ-0634"/>
  </r>
  <r>
    <s v="TRX-2026-0635"/>
    <x v="64"/>
    <x v="1"/>
    <s v="PRD-005"/>
    <x v="5"/>
    <x v="1"/>
    <s v="BLI"/>
    <x v="3"/>
    <n v="13"/>
    <n v="5500000"/>
    <n v="71500000"/>
    <n v="0.1"/>
    <x v="0"/>
    <s v="ACT-366-BLI-0635"/>
  </r>
  <r>
    <s v="TRX-2026-0636"/>
    <x v="108"/>
    <x v="5"/>
    <s v="PRD-005"/>
    <x v="5"/>
    <x v="1"/>
    <s v="BLI"/>
    <x v="3"/>
    <n v="14"/>
    <n v="5500000"/>
    <n v="77000000"/>
    <n v="0"/>
    <x v="3"/>
    <s v="ACT-154-BLI-0636"/>
  </r>
  <r>
    <s v="TRX-2026-0637"/>
    <x v="186"/>
    <x v="0"/>
    <s v="PRD-002"/>
    <x v="0"/>
    <x v="0"/>
    <s v="BLI"/>
    <x v="3"/>
    <n v="15"/>
    <n v="3500000"/>
    <n v="52500000"/>
    <n v="0.05"/>
    <x v="1"/>
    <s v="ACT-222-BLI-0637"/>
  </r>
  <r>
    <s v="TRX-2026-0638"/>
    <x v="50"/>
    <x v="0"/>
    <s v="PRD-007"/>
    <x v="2"/>
    <x v="2"/>
    <s v="TIK"/>
    <x v="1"/>
    <n v="5"/>
    <n v="2000000"/>
    <n v="10000000"/>
    <n v="0.15"/>
    <x v="0"/>
    <s v="ACT-991-TIK-0638"/>
  </r>
  <r>
    <s v="TRX-2026-0639"/>
    <x v="118"/>
    <x v="4"/>
    <s v="PRD-003"/>
    <x v="3"/>
    <x v="3"/>
    <s v="SHO"/>
    <x v="2"/>
    <n v="4"/>
    <n v="12000000"/>
    <n v="48000000"/>
    <n v="0.1"/>
    <x v="3"/>
    <s v="ACT-683-SHO-0639"/>
  </r>
  <r>
    <s v="TRX-2026-0640"/>
    <x v="15"/>
    <x v="7"/>
    <s v="PRD-003"/>
    <x v="3"/>
    <x v="3"/>
    <s v="LAZ"/>
    <x v="4"/>
    <n v="14"/>
    <n v="12000000"/>
    <n v="168000000"/>
    <n v="0.05"/>
    <x v="0"/>
    <s v="ACT-599-LAZ-0640"/>
  </r>
  <r>
    <s v="TRX-2026-0641"/>
    <x v="109"/>
    <x v="6"/>
    <s v="PRD-003"/>
    <x v="3"/>
    <x v="3"/>
    <s v="LAZ"/>
    <x v="4"/>
    <n v="11"/>
    <n v="12000000"/>
    <n v="132000000"/>
    <n v="0"/>
    <x v="0"/>
    <s v="ACT-562-LAZ-0641"/>
  </r>
  <r>
    <s v="TRX-2026-0642"/>
    <x v="129"/>
    <x v="6"/>
    <s v="PRD-004"/>
    <x v="1"/>
    <x v="1"/>
    <s v="SHO"/>
    <x v="2"/>
    <n v="10"/>
    <n v="2500000"/>
    <n v="25000000"/>
    <n v="0.05"/>
    <x v="3"/>
    <s v="ACT-904-SHO-0642"/>
  </r>
  <r>
    <s v="TRX-2026-0643"/>
    <x v="5"/>
    <x v="3"/>
    <s v="PRD-002"/>
    <x v="0"/>
    <x v="0"/>
    <s v="SHO"/>
    <x v="2"/>
    <n v="10"/>
    <n v="3500000"/>
    <n v="35000000"/>
    <n v="0.15"/>
    <x v="2"/>
    <s v="ACT-539-SHO-0643"/>
  </r>
  <r>
    <s v="TRX-2026-0644"/>
    <x v="111"/>
    <x v="7"/>
    <s v="PRD-007"/>
    <x v="2"/>
    <x v="2"/>
    <s v="BLI"/>
    <x v="3"/>
    <n v="7"/>
    <n v="2000000"/>
    <n v="14000000"/>
    <n v="0"/>
    <x v="0"/>
    <s v="ACT-646-BLI-0644"/>
  </r>
  <r>
    <s v="TRX-2026-0645"/>
    <x v="54"/>
    <x v="1"/>
    <s v="PRD-006"/>
    <x v="4"/>
    <x v="4"/>
    <s v="TOK"/>
    <x v="0"/>
    <n v="15"/>
    <n v="750000"/>
    <n v="11250000"/>
    <n v="0.1"/>
    <x v="1"/>
    <s v="ACT-295-TOK-0645"/>
  </r>
  <r>
    <s v="TRX-2026-0646"/>
    <x v="91"/>
    <x v="2"/>
    <s v="PRD-001"/>
    <x v="7"/>
    <x v="0"/>
    <s v="SHO"/>
    <x v="2"/>
    <n v="4"/>
    <n v="1500000"/>
    <n v="6000000"/>
    <n v="0.1"/>
    <x v="0"/>
    <s v="ACT-232-SHO-0646"/>
  </r>
  <r>
    <s v="TRX-2026-0647"/>
    <x v="210"/>
    <x v="2"/>
    <s v="PRD-007"/>
    <x v="2"/>
    <x v="2"/>
    <s v="TIK"/>
    <x v="1"/>
    <n v="10"/>
    <n v="2000000"/>
    <n v="20000000"/>
    <n v="0.1"/>
    <x v="0"/>
    <s v="ACT-166-TIK-0647"/>
  </r>
  <r>
    <s v="TRX-2026-0648"/>
    <x v="211"/>
    <x v="3"/>
    <s v="PRD-001"/>
    <x v="7"/>
    <x v="0"/>
    <s v="LAZ"/>
    <x v="4"/>
    <n v="5"/>
    <n v="1500000"/>
    <n v="7500000"/>
    <n v="0.15"/>
    <x v="2"/>
    <s v="ACT-632-LAZ-0648"/>
  </r>
  <r>
    <s v="TRX-2026-0649"/>
    <x v="17"/>
    <x v="0"/>
    <s v="PRD-006"/>
    <x v="4"/>
    <x v="4"/>
    <s v="BLI"/>
    <x v="3"/>
    <n v="15"/>
    <n v="750000"/>
    <n v="11250000"/>
    <n v="0.05"/>
    <x v="0"/>
    <s v="ACT-601-BLI-0649"/>
  </r>
  <r>
    <s v="TRX-2026-0650"/>
    <x v="159"/>
    <x v="7"/>
    <s v="PRD-004"/>
    <x v="1"/>
    <x v="1"/>
    <s v="SHO"/>
    <x v="2"/>
    <n v="15"/>
    <n v="2500000"/>
    <n v="37500000"/>
    <n v="0.15"/>
    <x v="0"/>
    <s v="ACT-333-SHO-0650"/>
  </r>
  <r>
    <s v="TRX-2026-0651"/>
    <x v="64"/>
    <x v="1"/>
    <s v="PRD-003"/>
    <x v="3"/>
    <x v="3"/>
    <s v="SHO"/>
    <x v="2"/>
    <n v="12"/>
    <n v="12000000"/>
    <n v="144000000"/>
    <n v="0"/>
    <x v="1"/>
    <s v="ACT-616-SHO-0651"/>
  </r>
  <r>
    <s v="TRX-2026-0652"/>
    <x v="188"/>
    <x v="1"/>
    <s v="PRD-002"/>
    <x v="0"/>
    <x v="0"/>
    <s v="LAZ"/>
    <x v="4"/>
    <n v="12"/>
    <n v="3500000"/>
    <n v="42000000"/>
    <n v="0"/>
    <x v="3"/>
    <s v="ACT-997-LAZ-0652"/>
  </r>
  <r>
    <s v="TRX-2026-0653"/>
    <x v="0"/>
    <x v="0"/>
    <s v="PRD-005"/>
    <x v="5"/>
    <x v="1"/>
    <s v="TIK"/>
    <x v="1"/>
    <n v="10"/>
    <n v="5500000"/>
    <n v="55000000"/>
    <n v="0"/>
    <x v="1"/>
    <s v="ACT-149-TIK-0653"/>
  </r>
  <r>
    <s v="TRX-2026-0654"/>
    <x v="130"/>
    <x v="0"/>
    <s v="PRD-002"/>
    <x v="0"/>
    <x v="0"/>
    <s v="TOK"/>
    <x v="0"/>
    <n v="1"/>
    <n v="3500000"/>
    <n v="3500000"/>
    <n v="0"/>
    <x v="3"/>
    <s v="ACT-554-TOK-0654"/>
  </r>
  <r>
    <s v="TRX-2026-0655"/>
    <x v="36"/>
    <x v="7"/>
    <s v="PRD-002"/>
    <x v="0"/>
    <x v="0"/>
    <s v="TIK"/>
    <x v="1"/>
    <n v="5"/>
    <n v="3500000"/>
    <n v="17500000"/>
    <n v="0.15"/>
    <x v="2"/>
    <s v="ACT-256-TIK-0655"/>
  </r>
  <r>
    <s v="TRX-2026-0656"/>
    <x v="73"/>
    <x v="1"/>
    <s v="PRD-001"/>
    <x v="7"/>
    <x v="0"/>
    <s v="LAZ"/>
    <x v="4"/>
    <n v="7"/>
    <n v="1500000"/>
    <n v="10500000"/>
    <n v="0"/>
    <x v="2"/>
    <s v="ACT-632-LAZ-0656"/>
  </r>
  <r>
    <s v="TRX-2026-0657"/>
    <x v="161"/>
    <x v="6"/>
    <s v="PRD-003"/>
    <x v="3"/>
    <x v="3"/>
    <s v="BLI"/>
    <x v="3"/>
    <n v="14"/>
    <n v="12000000"/>
    <n v="168000000"/>
    <n v="0"/>
    <x v="1"/>
    <s v="ACT-836-BLI-0657"/>
  </r>
  <r>
    <s v="TRX-2026-0658"/>
    <x v="100"/>
    <x v="0"/>
    <s v="PRD-002"/>
    <x v="0"/>
    <x v="0"/>
    <s v="LAZ"/>
    <x v="4"/>
    <n v="2"/>
    <n v="3500000"/>
    <n v="7000000"/>
    <n v="0"/>
    <x v="3"/>
    <s v="ACT-303-LAZ-0658"/>
  </r>
  <r>
    <s v="TRX-2026-0659"/>
    <x v="166"/>
    <x v="0"/>
    <s v="PRD-004"/>
    <x v="1"/>
    <x v="1"/>
    <s v="LAZ"/>
    <x v="4"/>
    <n v="14"/>
    <n v="2500000"/>
    <n v="35000000"/>
    <n v="0.05"/>
    <x v="0"/>
    <s v="ACT-820-LAZ-0659"/>
  </r>
  <r>
    <s v="TRX-2026-0660"/>
    <x v="178"/>
    <x v="7"/>
    <s v="PRD-005"/>
    <x v="5"/>
    <x v="1"/>
    <s v="SHO"/>
    <x v="2"/>
    <n v="1"/>
    <n v="5500000"/>
    <n v="5500000"/>
    <n v="0.15"/>
    <x v="0"/>
    <s v="ACT-804-SHO-0660"/>
  </r>
  <r>
    <s v="TRX-2026-0661"/>
    <x v="138"/>
    <x v="5"/>
    <s v="PRD-006"/>
    <x v="4"/>
    <x v="4"/>
    <s v="SHO"/>
    <x v="2"/>
    <n v="1"/>
    <n v="750000"/>
    <n v="750000"/>
    <n v="0"/>
    <x v="2"/>
    <s v="ACT-191-SHO-0661"/>
  </r>
  <r>
    <s v="TRX-2026-0662"/>
    <x v="175"/>
    <x v="2"/>
    <s v="PRD-008"/>
    <x v="6"/>
    <x v="5"/>
    <s v="SHO"/>
    <x v="2"/>
    <n v="2"/>
    <n v="4000000"/>
    <n v="8000000"/>
    <n v="0"/>
    <x v="2"/>
    <s v="ACT-840-SHO-0662"/>
  </r>
  <r>
    <s v="TRX-2026-0663"/>
    <x v="127"/>
    <x v="2"/>
    <s v="PRD-005"/>
    <x v="5"/>
    <x v="1"/>
    <s v="SHO"/>
    <x v="2"/>
    <n v="8"/>
    <n v="5500000"/>
    <n v="44000000"/>
    <n v="0.1"/>
    <x v="0"/>
    <s v="ACT-575-SHO-0663"/>
  </r>
  <r>
    <s v="TRX-2026-0664"/>
    <x v="206"/>
    <x v="2"/>
    <s v="PRD-002"/>
    <x v="0"/>
    <x v="0"/>
    <s v="SHO"/>
    <x v="2"/>
    <n v="14"/>
    <n v="3500000"/>
    <n v="49000000"/>
    <n v="0"/>
    <x v="0"/>
    <s v="ACT-468-SHO-0664"/>
  </r>
  <r>
    <s v="TRX-2026-0665"/>
    <x v="69"/>
    <x v="3"/>
    <s v="PRD-006"/>
    <x v="4"/>
    <x v="4"/>
    <s v="BLI"/>
    <x v="3"/>
    <n v="12"/>
    <n v="750000"/>
    <n v="9000000"/>
    <n v="0"/>
    <x v="0"/>
    <s v="ACT-971-BLI-0665"/>
  </r>
  <r>
    <s v="TRX-2026-0666"/>
    <x v="90"/>
    <x v="3"/>
    <s v="PRD-001"/>
    <x v="7"/>
    <x v="0"/>
    <s v="TOK"/>
    <x v="0"/>
    <n v="14"/>
    <n v="1500000"/>
    <n v="21000000"/>
    <n v="0.05"/>
    <x v="2"/>
    <s v="ACT-762-TOK-0666"/>
  </r>
  <r>
    <s v="TRX-2026-0667"/>
    <x v="188"/>
    <x v="1"/>
    <s v="PRD-006"/>
    <x v="4"/>
    <x v="4"/>
    <s v="LAZ"/>
    <x v="4"/>
    <n v="15"/>
    <n v="750000"/>
    <n v="11250000"/>
    <n v="0.15"/>
    <x v="1"/>
    <s v="ACT-374-LAZ-0667"/>
  </r>
  <r>
    <s v="TRX-2026-0668"/>
    <x v="86"/>
    <x v="3"/>
    <s v="PRD-002"/>
    <x v="0"/>
    <x v="0"/>
    <s v="LAZ"/>
    <x v="4"/>
    <n v="14"/>
    <n v="3500000"/>
    <n v="49000000"/>
    <n v="0.1"/>
    <x v="0"/>
    <s v="ACT-216-LAZ-0668"/>
  </r>
  <r>
    <s v="TRX-2026-0669"/>
    <x v="200"/>
    <x v="7"/>
    <s v="PRD-007"/>
    <x v="2"/>
    <x v="2"/>
    <s v="BLI"/>
    <x v="3"/>
    <n v="5"/>
    <n v="2000000"/>
    <n v="10000000"/>
    <n v="0.15"/>
    <x v="2"/>
    <s v="ACT-971-BLI-0669"/>
  </r>
  <r>
    <s v="TRX-2026-0670"/>
    <x v="74"/>
    <x v="5"/>
    <s v="PRD-007"/>
    <x v="2"/>
    <x v="2"/>
    <s v="SHO"/>
    <x v="2"/>
    <n v="2"/>
    <n v="2000000"/>
    <n v="4000000"/>
    <n v="0.05"/>
    <x v="2"/>
    <s v="ACT-843-SHO-0670"/>
  </r>
  <r>
    <s v="TRX-2026-0671"/>
    <x v="148"/>
    <x v="2"/>
    <s v="PRD-003"/>
    <x v="3"/>
    <x v="3"/>
    <s v="TOK"/>
    <x v="0"/>
    <n v="7"/>
    <n v="12000000"/>
    <n v="84000000"/>
    <n v="0.15"/>
    <x v="1"/>
    <s v="ACT-794-TOK-0671"/>
  </r>
  <r>
    <s v="TRX-2026-0672"/>
    <x v="212"/>
    <x v="7"/>
    <s v="PRD-003"/>
    <x v="3"/>
    <x v="3"/>
    <s v="TIK"/>
    <x v="1"/>
    <n v="7"/>
    <n v="12000000"/>
    <n v="84000000"/>
    <n v="0.1"/>
    <x v="1"/>
    <s v="ACT-129-TIK-0672"/>
  </r>
  <r>
    <s v="TRX-2026-0673"/>
    <x v="8"/>
    <x v="4"/>
    <s v="PRD-003"/>
    <x v="3"/>
    <x v="3"/>
    <s v="BLI"/>
    <x v="3"/>
    <n v="15"/>
    <n v="12000000"/>
    <n v="180000000"/>
    <n v="0.15"/>
    <x v="0"/>
    <s v="ACT-521-BLI-0673"/>
  </r>
  <r>
    <s v="TRX-2026-0674"/>
    <x v="212"/>
    <x v="7"/>
    <s v="PRD-001"/>
    <x v="7"/>
    <x v="0"/>
    <s v="TOK"/>
    <x v="0"/>
    <n v="5"/>
    <n v="1500000"/>
    <n v="7500000"/>
    <n v="0.1"/>
    <x v="0"/>
    <s v="ACT-821-TOK-0674"/>
  </r>
  <r>
    <s v="TRX-2026-0675"/>
    <x v="191"/>
    <x v="0"/>
    <s v="PRD-004"/>
    <x v="1"/>
    <x v="1"/>
    <s v="LAZ"/>
    <x v="4"/>
    <n v="9"/>
    <n v="2500000"/>
    <n v="22500000"/>
    <n v="0"/>
    <x v="3"/>
    <s v="ACT-777-LAZ-0675"/>
  </r>
  <r>
    <s v="TRX-2026-0676"/>
    <x v="31"/>
    <x v="3"/>
    <s v="PRD-004"/>
    <x v="1"/>
    <x v="1"/>
    <s v="BLI"/>
    <x v="3"/>
    <n v="6"/>
    <n v="2500000"/>
    <n v="15000000"/>
    <n v="0.15"/>
    <x v="0"/>
    <s v="ACT-959-BLI-0676"/>
  </r>
  <r>
    <s v="TRX-2026-0677"/>
    <x v="87"/>
    <x v="3"/>
    <s v="PRD-001"/>
    <x v="7"/>
    <x v="0"/>
    <s v="TOK"/>
    <x v="0"/>
    <n v="11"/>
    <n v="1500000"/>
    <n v="16500000"/>
    <n v="0.05"/>
    <x v="1"/>
    <s v="ACT-969-TOK-0677"/>
  </r>
  <r>
    <s v="TRX-2026-0678"/>
    <x v="102"/>
    <x v="5"/>
    <s v="PRD-008"/>
    <x v="6"/>
    <x v="5"/>
    <s v="SHO"/>
    <x v="2"/>
    <n v="2"/>
    <n v="4000000"/>
    <n v="8000000"/>
    <n v="0.15"/>
    <x v="0"/>
    <s v="ACT-346-SHO-0678"/>
  </r>
  <r>
    <s v="TRX-2026-0679"/>
    <x v="152"/>
    <x v="6"/>
    <s v="PRD-005"/>
    <x v="5"/>
    <x v="1"/>
    <s v="TOK"/>
    <x v="0"/>
    <n v="9"/>
    <n v="5500000"/>
    <n v="49500000"/>
    <n v="0.05"/>
    <x v="1"/>
    <s v="ACT-758-TOK-0679"/>
  </r>
  <r>
    <s v="TRX-2026-0680"/>
    <x v="181"/>
    <x v="7"/>
    <s v="PRD-007"/>
    <x v="2"/>
    <x v="2"/>
    <s v="SHO"/>
    <x v="2"/>
    <n v="2"/>
    <n v="2000000"/>
    <n v="4000000"/>
    <n v="0.15"/>
    <x v="3"/>
    <s v="ACT-920-SHO-0680"/>
  </r>
  <r>
    <s v="TRX-2026-0681"/>
    <x v="147"/>
    <x v="5"/>
    <s v="PRD-008"/>
    <x v="6"/>
    <x v="5"/>
    <s v="TOK"/>
    <x v="0"/>
    <n v="14"/>
    <n v="4000000"/>
    <n v="56000000"/>
    <n v="0.15"/>
    <x v="3"/>
    <s v="ACT-423-TOK-0681"/>
  </r>
  <r>
    <s v="TRX-2026-0682"/>
    <x v="99"/>
    <x v="2"/>
    <s v="PRD-008"/>
    <x v="6"/>
    <x v="5"/>
    <s v="TOK"/>
    <x v="0"/>
    <n v="2"/>
    <n v="4000000"/>
    <n v="8000000"/>
    <n v="0.15"/>
    <x v="3"/>
    <s v="ACT-136-TOK-0682"/>
  </r>
  <r>
    <s v="TRX-2026-0683"/>
    <x v="13"/>
    <x v="5"/>
    <s v="PRD-001"/>
    <x v="7"/>
    <x v="0"/>
    <s v="TOK"/>
    <x v="0"/>
    <n v="13"/>
    <n v="1500000"/>
    <n v="19500000"/>
    <n v="0.1"/>
    <x v="1"/>
    <s v="ACT-675-TOK-0683"/>
  </r>
  <r>
    <s v="TRX-2026-0684"/>
    <x v="73"/>
    <x v="1"/>
    <s v="PRD-008"/>
    <x v="6"/>
    <x v="5"/>
    <s v="LAZ"/>
    <x v="4"/>
    <n v="6"/>
    <n v="4000000"/>
    <n v="24000000"/>
    <n v="0"/>
    <x v="0"/>
    <s v="ACT-964-LAZ-0684"/>
  </r>
  <r>
    <s v="TRX-2026-0685"/>
    <x v="19"/>
    <x v="7"/>
    <s v="PRD-006"/>
    <x v="4"/>
    <x v="4"/>
    <s v="TIK"/>
    <x v="1"/>
    <n v="13"/>
    <n v="750000"/>
    <n v="9750000"/>
    <n v="0.15"/>
    <x v="2"/>
    <s v="ACT-772-TIK-0685"/>
  </r>
  <r>
    <s v="TRX-2026-0686"/>
    <x v="213"/>
    <x v="7"/>
    <s v="PRD-008"/>
    <x v="6"/>
    <x v="5"/>
    <s v="TOK"/>
    <x v="0"/>
    <n v="2"/>
    <n v="4000000"/>
    <n v="8000000"/>
    <n v="0.05"/>
    <x v="0"/>
    <s v="ACT-449-TOK-0686"/>
  </r>
  <r>
    <s v="TRX-2026-0687"/>
    <x v="157"/>
    <x v="7"/>
    <s v="PRD-005"/>
    <x v="5"/>
    <x v="1"/>
    <s v="TIK"/>
    <x v="1"/>
    <n v="9"/>
    <n v="5500000"/>
    <n v="49500000"/>
    <n v="0.1"/>
    <x v="2"/>
    <s v="ACT-208-TIK-0687"/>
  </r>
  <r>
    <s v="TRX-2026-0688"/>
    <x v="214"/>
    <x v="2"/>
    <s v="PRD-003"/>
    <x v="3"/>
    <x v="3"/>
    <s v="BLI"/>
    <x v="3"/>
    <n v="3"/>
    <n v="12000000"/>
    <n v="36000000"/>
    <n v="0.15"/>
    <x v="0"/>
    <s v="ACT-360-BLI-0688"/>
  </r>
  <r>
    <s v="TRX-2026-0689"/>
    <x v="65"/>
    <x v="0"/>
    <s v="PRD-004"/>
    <x v="1"/>
    <x v="1"/>
    <s v="SHO"/>
    <x v="2"/>
    <n v="2"/>
    <n v="2500000"/>
    <n v="5000000"/>
    <n v="0.15"/>
    <x v="0"/>
    <s v="ACT-568-SHO-0689"/>
  </r>
  <r>
    <s v="TRX-2026-0690"/>
    <x v="87"/>
    <x v="3"/>
    <s v="PRD-004"/>
    <x v="1"/>
    <x v="1"/>
    <s v="LAZ"/>
    <x v="4"/>
    <n v="2"/>
    <n v="2500000"/>
    <n v="5000000"/>
    <n v="0.15"/>
    <x v="0"/>
    <s v="ACT-748-LAZ-0690"/>
  </r>
  <r>
    <s v="TRX-2026-0691"/>
    <x v="34"/>
    <x v="4"/>
    <s v="PRD-002"/>
    <x v="0"/>
    <x v="0"/>
    <s v="BLI"/>
    <x v="3"/>
    <n v="8"/>
    <n v="3500000"/>
    <n v="28000000"/>
    <n v="0.05"/>
    <x v="3"/>
    <s v="ACT-104-BLI-0691"/>
  </r>
  <r>
    <s v="TRX-2026-0692"/>
    <x v="139"/>
    <x v="5"/>
    <s v="PRD-001"/>
    <x v="7"/>
    <x v="0"/>
    <s v="TIK"/>
    <x v="1"/>
    <n v="15"/>
    <n v="1500000"/>
    <n v="22500000"/>
    <n v="0.15"/>
    <x v="1"/>
    <s v="ACT-594-TIK-0692"/>
  </r>
  <r>
    <s v="TRX-2026-0693"/>
    <x v="201"/>
    <x v="5"/>
    <s v="PRD-003"/>
    <x v="3"/>
    <x v="3"/>
    <s v="TIK"/>
    <x v="1"/>
    <n v="3"/>
    <n v="12000000"/>
    <n v="36000000"/>
    <n v="0.05"/>
    <x v="0"/>
    <s v="ACT-496-TIK-0693"/>
  </r>
  <r>
    <s v="TRX-2026-0694"/>
    <x v="55"/>
    <x v="0"/>
    <s v="PRD-006"/>
    <x v="4"/>
    <x v="4"/>
    <s v="TIK"/>
    <x v="1"/>
    <n v="15"/>
    <n v="750000"/>
    <n v="11250000"/>
    <n v="0.15"/>
    <x v="3"/>
    <s v="ACT-723-TIK-0694"/>
  </r>
  <r>
    <s v="TRX-2026-0695"/>
    <x v="110"/>
    <x v="0"/>
    <s v="PRD-004"/>
    <x v="1"/>
    <x v="1"/>
    <s v="LAZ"/>
    <x v="4"/>
    <n v="7"/>
    <n v="2500000"/>
    <n v="17500000"/>
    <n v="0.1"/>
    <x v="0"/>
    <s v="ACT-563-LAZ-0695"/>
  </r>
  <r>
    <s v="TRX-2026-0696"/>
    <x v="4"/>
    <x v="3"/>
    <s v="PRD-003"/>
    <x v="3"/>
    <x v="3"/>
    <s v="SHO"/>
    <x v="2"/>
    <n v="7"/>
    <n v="12000000"/>
    <n v="84000000"/>
    <n v="0.1"/>
    <x v="2"/>
    <s v="ACT-660-SHO-0696"/>
  </r>
  <r>
    <s v="TRX-2026-0697"/>
    <x v="8"/>
    <x v="4"/>
    <s v="PRD-006"/>
    <x v="4"/>
    <x v="4"/>
    <s v="TIK"/>
    <x v="1"/>
    <n v="11"/>
    <n v="750000"/>
    <n v="8250000"/>
    <n v="0.05"/>
    <x v="0"/>
    <s v="ACT-314-TIK-0697"/>
  </r>
  <r>
    <s v="TRX-2026-0698"/>
    <x v="59"/>
    <x v="0"/>
    <s v="PRD-005"/>
    <x v="5"/>
    <x v="1"/>
    <s v="LAZ"/>
    <x v="4"/>
    <n v="15"/>
    <n v="5500000"/>
    <n v="82500000"/>
    <n v="0.05"/>
    <x v="2"/>
    <s v="ACT-765-LAZ-0698"/>
  </r>
  <r>
    <s v="TRX-2026-0699"/>
    <x v="52"/>
    <x v="1"/>
    <s v="PRD-006"/>
    <x v="4"/>
    <x v="4"/>
    <s v="TOK"/>
    <x v="0"/>
    <n v="13"/>
    <n v="750000"/>
    <n v="9750000"/>
    <n v="0.1"/>
    <x v="1"/>
    <s v="ACT-591-TOK-0699"/>
  </r>
  <r>
    <s v="TRX-2026-0700"/>
    <x v="108"/>
    <x v="5"/>
    <s v="PRD-007"/>
    <x v="2"/>
    <x v="2"/>
    <s v="TIK"/>
    <x v="1"/>
    <n v="5"/>
    <n v="2000000"/>
    <n v="10000000"/>
    <n v="0.15"/>
    <x v="0"/>
    <s v="ACT-635-TIK-0700"/>
  </r>
  <r>
    <s v="TRX-2026-0701"/>
    <x v="81"/>
    <x v="2"/>
    <s v="PRD-001"/>
    <x v="7"/>
    <x v="0"/>
    <s v="BLI"/>
    <x v="3"/>
    <n v="3"/>
    <n v="1500000"/>
    <n v="4500000"/>
    <n v="0"/>
    <x v="2"/>
    <s v="ACT-157-BLI-0701"/>
  </r>
  <r>
    <s v="TRX-2026-0702"/>
    <x v="54"/>
    <x v="1"/>
    <s v="PRD-005"/>
    <x v="5"/>
    <x v="1"/>
    <s v="SHO"/>
    <x v="2"/>
    <n v="5"/>
    <n v="5500000"/>
    <n v="27500000"/>
    <n v="0.1"/>
    <x v="0"/>
    <s v="ACT-959-SHO-0702"/>
  </r>
  <r>
    <s v="TRX-2026-0703"/>
    <x v="148"/>
    <x v="2"/>
    <s v="PRD-005"/>
    <x v="5"/>
    <x v="1"/>
    <s v="SHO"/>
    <x v="2"/>
    <n v="13"/>
    <n v="5500000"/>
    <n v="71500000"/>
    <n v="0"/>
    <x v="0"/>
    <s v="ACT-933-SHO-0703"/>
  </r>
  <r>
    <s v="TRX-2026-0704"/>
    <x v="25"/>
    <x v="7"/>
    <s v="PRD-002"/>
    <x v="0"/>
    <x v="0"/>
    <s v="TIK"/>
    <x v="1"/>
    <n v="14"/>
    <n v="3500000"/>
    <n v="49000000"/>
    <n v="0.05"/>
    <x v="2"/>
    <s v="ACT-762-TIK-0704"/>
  </r>
  <r>
    <s v="TRX-2026-0705"/>
    <x v="170"/>
    <x v="5"/>
    <s v="PRD-007"/>
    <x v="2"/>
    <x v="2"/>
    <s v="SHO"/>
    <x v="2"/>
    <n v="9"/>
    <n v="2000000"/>
    <n v="18000000"/>
    <n v="0.1"/>
    <x v="2"/>
    <s v="ACT-780-SHO-0705"/>
  </r>
  <r>
    <s v="TRX-2026-0706"/>
    <x v="206"/>
    <x v="2"/>
    <s v="PRD-007"/>
    <x v="2"/>
    <x v="2"/>
    <s v="BLI"/>
    <x v="3"/>
    <n v="7"/>
    <n v="2000000"/>
    <n v="14000000"/>
    <n v="0.1"/>
    <x v="1"/>
    <s v="ACT-155-BLI-0706"/>
  </r>
  <r>
    <s v="TRX-2026-0707"/>
    <x v="97"/>
    <x v="2"/>
    <s v="PRD-005"/>
    <x v="5"/>
    <x v="1"/>
    <s v="SHO"/>
    <x v="2"/>
    <n v="10"/>
    <n v="5500000"/>
    <n v="55000000"/>
    <n v="0.15"/>
    <x v="0"/>
    <s v="ACT-748-SHO-0707"/>
  </r>
  <r>
    <s v="TRX-2026-0708"/>
    <x v="180"/>
    <x v="0"/>
    <s v="PRD-006"/>
    <x v="4"/>
    <x v="4"/>
    <s v="TIK"/>
    <x v="1"/>
    <n v="9"/>
    <n v="750000"/>
    <n v="6750000"/>
    <n v="0.05"/>
    <x v="2"/>
    <s v="ACT-298-TIK-0708"/>
  </r>
  <r>
    <s v="TRX-2026-0709"/>
    <x v="215"/>
    <x v="6"/>
    <s v="PRD-008"/>
    <x v="6"/>
    <x v="5"/>
    <s v="SHO"/>
    <x v="2"/>
    <n v="11"/>
    <n v="4000000"/>
    <n v="44000000"/>
    <n v="0"/>
    <x v="0"/>
    <s v="ACT-277-SHO-0709"/>
  </r>
  <r>
    <s v="TRX-2026-0710"/>
    <x v="197"/>
    <x v="3"/>
    <s v="PRD-002"/>
    <x v="0"/>
    <x v="0"/>
    <s v="BLI"/>
    <x v="3"/>
    <n v="1"/>
    <n v="3500000"/>
    <n v="3500000"/>
    <n v="0.15"/>
    <x v="0"/>
    <s v="ACT-669-BLI-0710"/>
  </r>
  <r>
    <s v="TRX-2026-0711"/>
    <x v="216"/>
    <x v="6"/>
    <s v="PRD-003"/>
    <x v="3"/>
    <x v="3"/>
    <s v="SHO"/>
    <x v="2"/>
    <n v="10"/>
    <n v="12000000"/>
    <n v="120000000"/>
    <n v="0.1"/>
    <x v="0"/>
    <s v="ACT-438-SHO-0711"/>
  </r>
  <r>
    <s v="TRX-2026-0712"/>
    <x v="80"/>
    <x v="7"/>
    <s v="PRD-003"/>
    <x v="3"/>
    <x v="3"/>
    <s v="TOK"/>
    <x v="0"/>
    <n v="3"/>
    <n v="12000000"/>
    <n v="36000000"/>
    <n v="0.1"/>
    <x v="1"/>
    <s v="ACT-152-TOK-0712"/>
  </r>
  <r>
    <s v="TRX-2026-0713"/>
    <x v="150"/>
    <x v="3"/>
    <s v="PRD-005"/>
    <x v="5"/>
    <x v="1"/>
    <s v="BLI"/>
    <x v="3"/>
    <n v="13"/>
    <n v="5500000"/>
    <n v="71500000"/>
    <n v="0.1"/>
    <x v="0"/>
    <s v="ACT-902-BLI-0713"/>
  </r>
  <r>
    <s v="TRX-2026-0714"/>
    <x v="151"/>
    <x v="3"/>
    <s v="PRD-006"/>
    <x v="4"/>
    <x v="4"/>
    <s v="TIK"/>
    <x v="1"/>
    <n v="4"/>
    <n v="750000"/>
    <n v="3000000"/>
    <n v="0.05"/>
    <x v="1"/>
    <s v="ACT-169-TIK-0714"/>
  </r>
  <r>
    <s v="TRX-2026-0715"/>
    <x v="53"/>
    <x v="3"/>
    <s v="PRD-003"/>
    <x v="3"/>
    <x v="3"/>
    <s v="BLI"/>
    <x v="3"/>
    <n v="9"/>
    <n v="12000000"/>
    <n v="108000000"/>
    <n v="0.15"/>
    <x v="0"/>
    <s v="ACT-457-BLI-0715"/>
  </r>
  <r>
    <s v="TRX-2026-0716"/>
    <x v="143"/>
    <x v="1"/>
    <s v="PRD-004"/>
    <x v="1"/>
    <x v="1"/>
    <s v="LAZ"/>
    <x v="4"/>
    <n v="6"/>
    <n v="2500000"/>
    <n v="15000000"/>
    <n v="0.1"/>
    <x v="0"/>
    <s v="ACT-323-LAZ-0716"/>
  </r>
  <r>
    <s v="TRX-2026-0717"/>
    <x v="195"/>
    <x v="3"/>
    <s v="PRD-008"/>
    <x v="6"/>
    <x v="5"/>
    <s v="TIK"/>
    <x v="1"/>
    <n v="14"/>
    <n v="4000000"/>
    <n v="56000000"/>
    <n v="0"/>
    <x v="0"/>
    <s v="ACT-784-TIK-0717"/>
  </r>
  <r>
    <s v="TRX-2026-0718"/>
    <x v="140"/>
    <x v="6"/>
    <s v="PRD-008"/>
    <x v="6"/>
    <x v="5"/>
    <s v="SHO"/>
    <x v="2"/>
    <n v="15"/>
    <n v="4000000"/>
    <n v="60000000"/>
    <n v="0.05"/>
    <x v="0"/>
    <s v="ACT-798-SHO-0718"/>
  </r>
  <r>
    <s v="TRX-2026-0719"/>
    <x v="131"/>
    <x v="6"/>
    <s v="PRD-007"/>
    <x v="2"/>
    <x v="2"/>
    <s v="TOK"/>
    <x v="0"/>
    <n v="7"/>
    <n v="2000000"/>
    <n v="14000000"/>
    <n v="0.1"/>
    <x v="1"/>
    <s v="ACT-841-TOK-0719"/>
  </r>
  <r>
    <s v="TRX-2026-0720"/>
    <x v="63"/>
    <x v="6"/>
    <s v="PRD-001"/>
    <x v="7"/>
    <x v="0"/>
    <s v="TIK"/>
    <x v="1"/>
    <n v="14"/>
    <n v="1500000"/>
    <n v="21000000"/>
    <n v="0.1"/>
    <x v="1"/>
    <s v="ACT-922-TIK-0720"/>
  </r>
  <r>
    <s v="TRX-2026-0721"/>
    <x v="201"/>
    <x v="5"/>
    <s v="PRD-008"/>
    <x v="6"/>
    <x v="5"/>
    <s v="BLI"/>
    <x v="3"/>
    <n v="1"/>
    <n v="4000000"/>
    <n v="4000000"/>
    <n v="0.1"/>
    <x v="2"/>
    <s v="ACT-297-BLI-0721"/>
  </r>
  <r>
    <s v="TRX-2026-0722"/>
    <x v="131"/>
    <x v="6"/>
    <s v="PRD-002"/>
    <x v="0"/>
    <x v="0"/>
    <s v="TOK"/>
    <x v="0"/>
    <n v="3"/>
    <n v="3500000"/>
    <n v="10500000"/>
    <n v="0"/>
    <x v="2"/>
    <s v="ACT-167-TOK-0722"/>
  </r>
  <r>
    <s v="TRX-2026-0723"/>
    <x v="44"/>
    <x v="1"/>
    <s v="PRD-004"/>
    <x v="1"/>
    <x v="1"/>
    <s v="BLI"/>
    <x v="3"/>
    <n v="14"/>
    <n v="2500000"/>
    <n v="35000000"/>
    <n v="0"/>
    <x v="0"/>
    <s v="ACT-650-BLI-0723"/>
  </r>
  <r>
    <s v="TRX-2026-0724"/>
    <x v="78"/>
    <x v="4"/>
    <s v="PRD-007"/>
    <x v="2"/>
    <x v="2"/>
    <s v="TOK"/>
    <x v="0"/>
    <n v="12"/>
    <n v="2000000"/>
    <n v="24000000"/>
    <n v="0.05"/>
    <x v="0"/>
    <s v="ACT-570-TOK-0724"/>
  </r>
  <r>
    <s v="TRX-2026-0725"/>
    <x v="3"/>
    <x v="3"/>
    <s v="PRD-006"/>
    <x v="4"/>
    <x v="4"/>
    <s v="TOK"/>
    <x v="0"/>
    <n v="2"/>
    <n v="750000"/>
    <n v="1500000"/>
    <n v="0"/>
    <x v="0"/>
    <s v="ACT-282-TOK-0725"/>
  </r>
  <r>
    <s v="TRX-2026-0726"/>
    <x v="183"/>
    <x v="3"/>
    <s v="PRD-005"/>
    <x v="5"/>
    <x v="1"/>
    <s v="TIK"/>
    <x v="1"/>
    <n v="2"/>
    <n v="5500000"/>
    <n v="11000000"/>
    <n v="0.05"/>
    <x v="0"/>
    <s v="ACT-517-TIK-0726"/>
  </r>
  <r>
    <s v="TRX-2026-0727"/>
    <x v="163"/>
    <x v="7"/>
    <s v="PRD-008"/>
    <x v="6"/>
    <x v="5"/>
    <s v="BLI"/>
    <x v="3"/>
    <n v="7"/>
    <n v="4000000"/>
    <n v="28000000"/>
    <n v="0.1"/>
    <x v="0"/>
    <s v="ACT-498-BLI-0727"/>
  </r>
  <r>
    <s v="TRX-2026-0728"/>
    <x v="125"/>
    <x v="0"/>
    <s v="PRD-002"/>
    <x v="0"/>
    <x v="0"/>
    <s v="TIK"/>
    <x v="1"/>
    <n v="1"/>
    <n v="3500000"/>
    <n v="3500000"/>
    <n v="0"/>
    <x v="2"/>
    <s v="ACT-699-TIK-0728"/>
  </r>
  <r>
    <s v="TRX-2026-0729"/>
    <x v="214"/>
    <x v="2"/>
    <s v="PRD-002"/>
    <x v="0"/>
    <x v="0"/>
    <s v="LAZ"/>
    <x v="4"/>
    <n v="15"/>
    <n v="3500000"/>
    <n v="52500000"/>
    <n v="0"/>
    <x v="0"/>
    <s v="ACT-905-LAZ-0729"/>
  </r>
  <r>
    <s v="TRX-2026-0730"/>
    <x v="119"/>
    <x v="0"/>
    <s v="PRD-005"/>
    <x v="5"/>
    <x v="1"/>
    <s v="TIK"/>
    <x v="1"/>
    <n v="2"/>
    <n v="5500000"/>
    <n v="11000000"/>
    <n v="0.1"/>
    <x v="3"/>
    <s v="ACT-490-TIK-0730"/>
  </r>
  <r>
    <s v="TRX-2026-0731"/>
    <x v="41"/>
    <x v="7"/>
    <s v="PRD-001"/>
    <x v="7"/>
    <x v="0"/>
    <s v="BLI"/>
    <x v="3"/>
    <n v="3"/>
    <n v="1500000"/>
    <n v="4500000"/>
    <n v="0.05"/>
    <x v="0"/>
    <s v="ACT-864-BLI-0731"/>
  </r>
  <r>
    <s v="TRX-2026-0732"/>
    <x v="171"/>
    <x v="7"/>
    <s v="PRD-005"/>
    <x v="5"/>
    <x v="1"/>
    <s v="SHO"/>
    <x v="2"/>
    <n v="5"/>
    <n v="5500000"/>
    <n v="27500000"/>
    <n v="0.1"/>
    <x v="0"/>
    <s v="ACT-666-SHO-0732"/>
  </r>
  <r>
    <s v="TRX-2026-0733"/>
    <x v="13"/>
    <x v="5"/>
    <s v="PRD-003"/>
    <x v="3"/>
    <x v="3"/>
    <s v="TOK"/>
    <x v="0"/>
    <n v="1"/>
    <n v="12000000"/>
    <n v="12000000"/>
    <n v="0"/>
    <x v="1"/>
    <s v="ACT-710-TOK-0733"/>
  </r>
  <r>
    <s v="TRX-2026-0734"/>
    <x v="171"/>
    <x v="7"/>
    <s v="PRD-002"/>
    <x v="0"/>
    <x v="0"/>
    <s v="LAZ"/>
    <x v="4"/>
    <n v="4"/>
    <n v="3500000"/>
    <n v="14000000"/>
    <n v="0.1"/>
    <x v="0"/>
    <s v="ACT-522-LAZ-0734"/>
  </r>
  <r>
    <s v="TRX-2026-0735"/>
    <x v="84"/>
    <x v="0"/>
    <s v="PRD-003"/>
    <x v="3"/>
    <x v="3"/>
    <s v="SHO"/>
    <x v="2"/>
    <n v="3"/>
    <n v="12000000"/>
    <n v="36000000"/>
    <n v="0.05"/>
    <x v="1"/>
    <s v="ACT-954-SHO-0735"/>
  </r>
  <r>
    <s v="TRX-2026-0736"/>
    <x v="45"/>
    <x v="6"/>
    <s v="PRD-004"/>
    <x v="1"/>
    <x v="1"/>
    <s v="TOK"/>
    <x v="0"/>
    <n v="3"/>
    <n v="2500000"/>
    <n v="7500000"/>
    <n v="0"/>
    <x v="1"/>
    <s v="ACT-572-TOK-0736"/>
  </r>
  <r>
    <s v="TRX-2026-0737"/>
    <x v="84"/>
    <x v="0"/>
    <s v="PRD-002"/>
    <x v="0"/>
    <x v="0"/>
    <s v="LAZ"/>
    <x v="4"/>
    <n v="11"/>
    <n v="3500000"/>
    <n v="38500000"/>
    <n v="0"/>
    <x v="0"/>
    <s v="ACT-200-LAZ-0737"/>
  </r>
  <r>
    <s v="TRX-2026-0738"/>
    <x v="82"/>
    <x v="1"/>
    <s v="PRD-008"/>
    <x v="6"/>
    <x v="5"/>
    <s v="LAZ"/>
    <x v="4"/>
    <n v="6"/>
    <n v="4000000"/>
    <n v="24000000"/>
    <n v="0.05"/>
    <x v="2"/>
    <s v="ACT-771-LAZ-0738"/>
  </r>
  <r>
    <s v="TRX-2026-0739"/>
    <x v="205"/>
    <x v="6"/>
    <s v="PRD-002"/>
    <x v="0"/>
    <x v="0"/>
    <s v="LAZ"/>
    <x v="4"/>
    <n v="10"/>
    <n v="3500000"/>
    <n v="35000000"/>
    <n v="0"/>
    <x v="0"/>
    <s v="ACT-425-LAZ-0739"/>
  </r>
  <r>
    <s v="TRX-2026-0740"/>
    <x v="35"/>
    <x v="5"/>
    <s v="PRD-008"/>
    <x v="6"/>
    <x v="5"/>
    <s v="LAZ"/>
    <x v="4"/>
    <n v="10"/>
    <n v="4000000"/>
    <n v="40000000"/>
    <n v="0.1"/>
    <x v="2"/>
    <s v="ACT-698-LAZ-0740"/>
  </r>
  <r>
    <s v="TRX-2026-0741"/>
    <x v="51"/>
    <x v="1"/>
    <s v="PRD-006"/>
    <x v="4"/>
    <x v="4"/>
    <s v="LAZ"/>
    <x v="4"/>
    <n v="7"/>
    <n v="750000"/>
    <n v="5250000"/>
    <n v="0.05"/>
    <x v="0"/>
    <s v="ACT-420-LAZ-0741"/>
  </r>
  <r>
    <s v="TRX-2026-0742"/>
    <x v="167"/>
    <x v="6"/>
    <s v="PRD-004"/>
    <x v="1"/>
    <x v="1"/>
    <s v="BLI"/>
    <x v="3"/>
    <n v="5"/>
    <n v="2500000"/>
    <n v="12500000"/>
    <n v="0.1"/>
    <x v="0"/>
    <s v="ACT-795-BLI-0742"/>
  </r>
  <r>
    <s v="TRX-2026-0743"/>
    <x v="86"/>
    <x v="3"/>
    <s v="PRD-006"/>
    <x v="4"/>
    <x v="4"/>
    <s v="BLI"/>
    <x v="3"/>
    <n v="8"/>
    <n v="750000"/>
    <n v="6000000"/>
    <n v="0.15"/>
    <x v="0"/>
    <s v="ACT-893-BLI-0743"/>
  </r>
  <r>
    <s v="TRX-2026-0744"/>
    <x v="92"/>
    <x v="6"/>
    <s v="PRD-008"/>
    <x v="6"/>
    <x v="5"/>
    <s v="TIK"/>
    <x v="1"/>
    <n v="2"/>
    <n v="4000000"/>
    <n v="8000000"/>
    <n v="0.05"/>
    <x v="2"/>
    <s v="ACT-721-TIK-0744"/>
  </r>
  <r>
    <s v="TRX-2026-0745"/>
    <x v="121"/>
    <x v="2"/>
    <s v="PRD-005"/>
    <x v="5"/>
    <x v="1"/>
    <s v="SHO"/>
    <x v="2"/>
    <n v="15"/>
    <n v="5500000"/>
    <n v="82500000"/>
    <n v="0.05"/>
    <x v="0"/>
    <s v="ACT-851-SHO-0745"/>
  </r>
  <r>
    <s v="TRX-2026-0746"/>
    <x v="16"/>
    <x v="0"/>
    <s v="PRD-002"/>
    <x v="0"/>
    <x v="0"/>
    <s v="TOK"/>
    <x v="0"/>
    <n v="15"/>
    <n v="3500000"/>
    <n v="52500000"/>
    <n v="0"/>
    <x v="1"/>
    <s v="ACT-746-TOK-0746"/>
  </r>
  <r>
    <s v="TRX-2026-0747"/>
    <x v="76"/>
    <x v="2"/>
    <s v="PRD-007"/>
    <x v="2"/>
    <x v="2"/>
    <s v="TIK"/>
    <x v="1"/>
    <n v="4"/>
    <n v="2000000"/>
    <n v="8000000"/>
    <n v="0"/>
    <x v="1"/>
    <s v="ACT-366-TIK-0747"/>
  </r>
  <r>
    <s v="TRX-2026-0748"/>
    <x v="174"/>
    <x v="5"/>
    <s v="PRD-008"/>
    <x v="6"/>
    <x v="5"/>
    <s v="SHO"/>
    <x v="2"/>
    <n v="6"/>
    <n v="4000000"/>
    <n v="24000000"/>
    <n v="0.15"/>
    <x v="0"/>
    <s v="ACT-890-SHO-0748"/>
  </r>
  <r>
    <s v="TRX-2026-0749"/>
    <x v="26"/>
    <x v="5"/>
    <s v="PRD-005"/>
    <x v="5"/>
    <x v="1"/>
    <s v="SHO"/>
    <x v="2"/>
    <n v="8"/>
    <n v="5500000"/>
    <n v="44000000"/>
    <n v="0"/>
    <x v="3"/>
    <s v="ACT-472-SHO-0749"/>
  </r>
  <r>
    <s v="TRX-2026-0750"/>
    <x v="39"/>
    <x v="5"/>
    <s v="PRD-001"/>
    <x v="7"/>
    <x v="0"/>
    <s v="SHO"/>
    <x v="2"/>
    <n v="14"/>
    <n v="1500000"/>
    <n v="21000000"/>
    <n v="0.05"/>
    <x v="1"/>
    <s v="ACT-243-SHO-0750"/>
  </r>
  <r>
    <s v="TRX-2026-0751"/>
    <x v="154"/>
    <x v="7"/>
    <s v="PRD-003"/>
    <x v="3"/>
    <x v="3"/>
    <s v="SHO"/>
    <x v="2"/>
    <n v="10"/>
    <n v="12000000"/>
    <n v="120000000"/>
    <n v="0.05"/>
    <x v="2"/>
    <s v="ACT-849-SHO-0751"/>
  </r>
  <r>
    <s v="TRX-2026-0752"/>
    <x v="138"/>
    <x v="5"/>
    <s v="PRD-006"/>
    <x v="4"/>
    <x v="4"/>
    <s v="TOK"/>
    <x v="0"/>
    <n v="4"/>
    <n v="750000"/>
    <n v="3000000"/>
    <n v="0.15"/>
    <x v="0"/>
    <s v="ACT-164-TOK-0752"/>
  </r>
  <r>
    <s v="TRX-2026-0753"/>
    <x v="216"/>
    <x v="6"/>
    <s v="PRD-006"/>
    <x v="4"/>
    <x v="4"/>
    <s v="SHO"/>
    <x v="2"/>
    <n v="1"/>
    <n v="750000"/>
    <n v="750000"/>
    <n v="0.05"/>
    <x v="1"/>
    <s v="ACT-910-SHO-0753"/>
  </r>
  <r>
    <s v="TRX-2026-0754"/>
    <x v="95"/>
    <x v="7"/>
    <s v="PRD-007"/>
    <x v="2"/>
    <x v="2"/>
    <s v="BLI"/>
    <x v="3"/>
    <n v="15"/>
    <n v="2000000"/>
    <n v="30000000"/>
    <n v="0.15"/>
    <x v="0"/>
    <s v="ACT-140-BLI-0754"/>
  </r>
  <r>
    <s v="TRX-2026-0755"/>
    <x v="184"/>
    <x v="0"/>
    <s v="PRD-006"/>
    <x v="4"/>
    <x v="4"/>
    <s v="TOK"/>
    <x v="0"/>
    <n v="12"/>
    <n v="750000"/>
    <n v="9000000"/>
    <n v="0.1"/>
    <x v="2"/>
    <s v="ACT-369-TOK-0755"/>
  </r>
  <r>
    <s v="TRX-2026-0756"/>
    <x v="38"/>
    <x v="5"/>
    <s v="PRD-003"/>
    <x v="3"/>
    <x v="3"/>
    <s v="BLI"/>
    <x v="3"/>
    <n v="11"/>
    <n v="12000000"/>
    <n v="132000000"/>
    <n v="0.15"/>
    <x v="0"/>
    <s v="ACT-701-BLI-0756"/>
  </r>
  <r>
    <s v="TRX-2026-0757"/>
    <x v="43"/>
    <x v="0"/>
    <s v="PRD-002"/>
    <x v="0"/>
    <x v="0"/>
    <s v="TIK"/>
    <x v="1"/>
    <n v="5"/>
    <n v="3500000"/>
    <n v="17500000"/>
    <n v="0.15"/>
    <x v="0"/>
    <s v="ACT-628-TIK-0757"/>
  </r>
  <r>
    <s v="TRX-2026-0758"/>
    <x v="111"/>
    <x v="7"/>
    <s v="PRD-006"/>
    <x v="4"/>
    <x v="4"/>
    <s v="LAZ"/>
    <x v="4"/>
    <n v="8"/>
    <n v="750000"/>
    <n v="6000000"/>
    <n v="0.15"/>
    <x v="1"/>
    <s v="ACT-106-LAZ-0758"/>
  </r>
  <r>
    <s v="TRX-2026-0759"/>
    <x v="39"/>
    <x v="5"/>
    <s v="PRD-003"/>
    <x v="3"/>
    <x v="3"/>
    <s v="BLI"/>
    <x v="3"/>
    <n v="3"/>
    <n v="12000000"/>
    <n v="36000000"/>
    <n v="0.05"/>
    <x v="0"/>
    <s v="ACT-626-BLI-0759"/>
  </r>
  <r>
    <s v="TRX-2026-0760"/>
    <x v="145"/>
    <x v="0"/>
    <s v="PRD-005"/>
    <x v="5"/>
    <x v="1"/>
    <s v="SHO"/>
    <x v="2"/>
    <n v="3"/>
    <n v="5500000"/>
    <n v="16500000"/>
    <n v="0.05"/>
    <x v="0"/>
    <s v="ACT-470-SHO-0760"/>
  </r>
  <r>
    <s v="TRX-2026-0761"/>
    <x v="134"/>
    <x v="0"/>
    <s v="PRD-002"/>
    <x v="0"/>
    <x v="0"/>
    <s v="SHO"/>
    <x v="2"/>
    <n v="7"/>
    <n v="3500000"/>
    <n v="24500000"/>
    <n v="0.1"/>
    <x v="2"/>
    <s v="ACT-216-SHO-0761"/>
  </r>
  <r>
    <s v="TRX-2026-0762"/>
    <x v="138"/>
    <x v="5"/>
    <s v="PRD-008"/>
    <x v="6"/>
    <x v="5"/>
    <s v="BLI"/>
    <x v="3"/>
    <n v="4"/>
    <n v="4000000"/>
    <n v="16000000"/>
    <n v="0.05"/>
    <x v="2"/>
    <s v="ACT-953-BLI-0762"/>
  </r>
  <r>
    <s v="TRX-2026-0763"/>
    <x v="137"/>
    <x v="7"/>
    <s v="PRD-001"/>
    <x v="7"/>
    <x v="0"/>
    <s v="SHO"/>
    <x v="2"/>
    <n v="1"/>
    <n v="1500000"/>
    <n v="1500000"/>
    <n v="0.05"/>
    <x v="1"/>
    <s v="ACT-706-SHO-0763"/>
  </r>
  <r>
    <s v="TRX-2026-0764"/>
    <x v="165"/>
    <x v="1"/>
    <s v="PRD-003"/>
    <x v="3"/>
    <x v="3"/>
    <s v="TIK"/>
    <x v="1"/>
    <n v="1"/>
    <n v="12000000"/>
    <n v="12000000"/>
    <n v="0.05"/>
    <x v="0"/>
    <s v="ACT-270-TIK-0764"/>
  </r>
  <r>
    <s v="TRX-2026-0765"/>
    <x v="56"/>
    <x v="6"/>
    <s v="PRD-003"/>
    <x v="3"/>
    <x v="3"/>
    <s v="TIK"/>
    <x v="1"/>
    <n v="7"/>
    <n v="12000000"/>
    <n v="84000000"/>
    <n v="0"/>
    <x v="2"/>
    <s v="ACT-845-TIK-0765"/>
  </r>
  <r>
    <s v="TRX-2026-0766"/>
    <x v="130"/>
    <x v="0"/>
    <s v="PRD-005"/>
    <x v="5"/>
    <x v="1"/>
    <s v="TOK"/>
    <x v="0"/>
    <n v="4"/>
    <n v="5500000"/>
    <n v="22000000"/>
    <n v="0.15"/>
    <x v="1"/>
    <s v="ACT-582-TOK-0766"/>
  </r>
  <r>
    <s v="TRX-2026-0767"/>
    <x v="138"/>
    <x v="5"/>
    <s v="PRD-003"/>
    <x v="3"/>
    <x v="3"/>
    <s v="SHO"/>
    <x v="2"/>
    <n v="14"/>
    <n v="12000000"/>
    <n v="168000000"/>
    <n v="0.15"/>
    <x v="1"/>
    <s v="ACT-246-SHO-0767"/>
  </r>
  <r>
    <s v="TRX-2026-0768"/>
    <x v="183"/>
    <x v="3"/>
    <s v="PRD-003"/>
    <x v="3"/>
    <x v="3"/>
    <s v="TIK"/>
    <x v="1"/>
    <n v="11"/>
    <n v="12000000"/>
    <n v="132000000"/>
    <n v="0.1"/>
    <x v="0"/>
    <s v="ACT-841-TIK-0768"/>
  </r>
  <r>
    <s v="TRX-2026-0769"/>
    <x v="119"/>
    <x v="0"/>
    <s v="PRD-006"/>
    <x v="4"/>
    <x v="4"/>
    <s v="BLI"/>
    <x v="3"/>
    <n v="10"/>
    <n v="750000"/>
    <n v="7500000"/>
    <n v="0"/>
    <x v="0"/>
    <s v="ACT-487-BLI-0769"/>
  </r>
  <r>
    <s v="TRX-2026-0770"/>
    <x v="66"/>
    <x v="7"/>
    <s v="PRD-003"/>
    <x v="3"/>
    <x v="3"/>
    <s v="TOK"/>
    <x v="0"/>
    <n v="1"/>
    <n v="12000000"/>
    <n v="12000000"/>
    <n v="0.05"/>
    <x v="1"/>
    <s v="ACT-980-TOK-0770"/>
  </r>
  <r>
    <s v="TRX-2026-0771"/>
    <x v="146"/>
    <x v="5"/>
    <s v="PRD-007"/>
    <x v="2"/>
    <x v="2"/>
    <s v="SHO"/>
    <x v="2"/>
    <n v="10"/>
    <n v="2000000"/>
    <n v="20000000"/>
    <n v="0"/>
    <x v="0"/>
    <s v="ACT-587-SHO-0771"/>
  </r>
  <r>
    <s v="TRX-2026-0772"/>
    <x v="168"/>
    <x v="0"/>
    <s v="PRD-001"/>
    <x v="7"/>
    <x v="0"/>
    <s v="TIK"/>
    <x v="1"/>
    <n v="9"/>
    <n v="1500000"/>
    <n v="13500000"/>
    <n v="0"/>
    <x v="0"/>
    <s v="ACT-593-TIK-0772"/>
  </r>
  <r>
    <s v="TRX-2026-0773"/>
    <x v="55"/>
    <x v="0"/>
    <s v="PRD-003"/>
    <x v="3"/>
    <x v="3"/>
    <s v="TIK"/>
    <x v="1"/>
    <n v="9"/>
    <n v="12000000"/>
    <n v="108000000"/>
    <n v="0"/>
    <x v="2"/>
    <s v="ACT-764-TIK-0773"/>
  </r>
  <r>
    <s v="TRX-2026-0774"/>
    <x v="85"/>
    <x v="7"/>
    <s v="PRD-007"/>
    <x v="2"/>
    <x v="2"/>
    <s v="LAZ"/>
    <x v="4"/>
    <n v="14"/>
    <n v="2000000"/>
    <n v="28000000"/>
    <n v="0"/>
    <x v="2"/>
    <s v="ACT-642-LAZ-0774"/>
  </r>
  <r>
    <s v="TRX-2026-0775"/>
    <x v="194"/>
    <x v="7"/>
    <s v="PRD-004"/>
    <x v="1"/>
    <x v="1"/>
    <s v="BLI"/>
    <x v="3"/>
    <n v="13"/>
    <n v="2500000"/>
    <n v="32500000"/>
    <n v="0.15"/>
    <x v="0"/>
    <s v="ACT-703-BLI-0775"/>
  </r>
  <r>
    <s v="TRX-2026-0776"/>
    <x v="69"/>
    <x v="3"/>
    <s v="PRD-002"/>
    <x v="0"/>
    <x v="0"/>
    <s v="BLI"/>
    <x v="3"/>
    <n v="3"/>
    <n v="3500000"/>
    <n v="10500000"/>
    <n v="0.1"/>
    <x v="3"/>
    <s v="ACT-884-BLI-0776"/>
  </r>
  <r>
    <s v="TRX-2026-0777"/>
    <x v="126"/>
    <x v="6"/>
    <s v="PRD-002"/>
    <x v="0"/>
    <x v="0"/>
    <s v="LAZ"/>
    <x v="4"/>
    <n v="10"/>
    <n v="3500000"/>
    <n v="35000000"/>
    <n v="0.15"/>
    <x v="0"/>
    <s v="ACT-293-LAZ-0777"/>
  </r>
  <r>
    <s v="TRX-2026-0778"/>
    <x v="67"/>
    <x v="2"/>
    <s v="PRD-001"/>
    <x v="7"/>
    <x v="0"/>
    <s v="TIK"/>
    <x v="1"/>
    <n v="9"/>
    <n v="1500000"/>
    <n v="13500000"/>
    <n v="0"/>
    <x v="1"/>
    <s v="ACT-107-TIK-0778"/>
  </r>
  <r>
    <s v="TRX-2026-0779"/>
    <x v="181"/>
    <x v="7"/>
    <s v="PRD-004"/>
    <x v="1"/>
    <x v="1"/>
    <s v="LAZ"/>
    <x v="4"/>
    <n v="7"/>
    <n v="2500000"/>
    <n v="17500000"/>
    <n v="0.1"/>
    <x v="0"/>
    <s v="ACT-258-LAZ-0779"/>
  </r>
  <r>
    <s v="TRX-2026-0780"/>
    <x v="194"/>
    <x v="7"/>
    <s v="PRD-005"/>
    <x v="5"/>
    <x v="1"/>
    <s v="LAZ"/>
    <x v="4"/>
    <n v="14"/>
    <n v="5500000"/>
    <n v="77000000"/>
    <n v="0.15"/>
    <x v="1"/>
    <s v="ACT-474-LAZ-0780"/>
  </r>
  <r>
    <s v="TRX-2026-0781"/>
    <x v="65"/>
    <x v="0"/>
    <s v="PRD-005"/>
    <x v="5"/>
    <x v="1"/>
    <s v="BLI"/>
    <x v="3"/>
    <n v="13"/>
    <n v="5500000"/>
    <n v="71500000"/>
    <n v="0.05"/>
    <x v="3"/>
    <s v="ACT-665-BLI-0781"/>
  </r>
  <r>
    <s v="TRX-2026-0782"/>
    <x v="117"/>
    <x v="3"/>
    <s v="PRD-008"/>
    <x v="6"/>
    <x v="5"/>
    <s v="SHO"/>
    <x v="2"/>
    <n v="6"/>
    <n v="4000000"/>
    <n v="24000000"/>
    <n v="0.15"/>
    <x v="0"/>
    <s v="ACT-414-SHO-0782"/>
  </r>
  <r>
    <s v="TRX-2026-0783"/>
    <x v="124"/>
    <x v="5"/>
    <s v="PRD-006"/>
    <x v="4"/>
    <x v="4"/>
    <s v="BLI"/>
    <x v="3"/>
    <n v="12"/>
    <n v="750000"/>
    <n v="9000000"/>
    <n v="0.05"/>
    <x v="2"/>
    <s v="ACT-221-BLI-0783"/>
  </r>
  <r>
    <s v="TRX-2026-0784"/>
    <x v="75"/>
    <x v="3"/>
    <s v="PRD-004"/>
    <x v="1"/>
    <x v="1"/>
    <s v="BLI"/>
    <x v="3"/>
    <n v="13"/>
    <n v="2500000"/>
    <n v="32500000"/>
    <n v="0.05"/>
    <x v="0"/>
    <s v="ACT-319-BLI-0784"/>
  </r>
  <r>
    <s v="TRX-2026-0785"/>
    <x v="201"/>
    <x v="5"/>
    <s v="PRD-007"/>
    <x v="2"/>
    <x v="2"/>
    <s v="LAZ"/>
    <x v="4"/>
    <n v="13"/>
    <n v="2000000"/>
    <n v="26000000"/>
    <n v="0"/>
    <x v="0"/>
    <s v="ACT-498-LAZ-0785"/>
  </r>
  <r>
    <s v="TRX-2026-0786"/>
    <x v="186"/>
    <x v="0"/>
    <s v="PRD-001"/>
    <x v="7"/>
    <x v="0"/>
    <s v="TOK"/>
    <x v="0"/>
    <n v="14"/>
    <n v="1500000"/>
    <n v="21000000"/>
    <n v="0.05"/>
    <x v="3"/>
    <s v="ACT-714-TOK-0786"/>
  </r>
  <r>
    <s v="TRX-2026-0787"/>
    <x v="57"/>
    <x v="7"/>
    <s v="PRD-002"/>
    <x v="0"/>
    <x v="0"/>
    <s v="TOK"/>
    <x v="0"/>
    <n v="5"/>
    <n v="3500000"/>
    <n v="17500000"/>
    <n v="0.05"/>
    <x v="0"/>
    <s v="ACT-181-TOK-0787"/>
  </r>
  <r>
    <s v="TRX-2026-0788"/>
    <x v="166"/>
    <x v="0"/>
    <s v="PRD-001"/>
    <x v="7"/>
    <x v="0"/>
    <s v="BLI"/>
    <x v="3"/>
    <n v="15"/>
    <n v="1500000"/>
    <n v="22500000"/>
    <n v="0.15"/>
    <x v="1"/>
    <s v="ACT-771-BLI-0788"/>
  </r>
  <r>
    <s v="TRX-2026-0789"/>
    <x v="149"/>
    <x v="5"/>
    <s v="PRD-005"/>
    <x v="5"/>
    <x v="1"/>
    <s v="TIK"/>
    <x v="1"/>
    <n v="1"/>
    <n v="5500000"/>
    <n v="5500000"/>
    <n v="0.05"/>
    <x v="2"/>
    <s v="ACT-606-TIK-0789"/>
  </r>
  <r>
    <s v="TRX-2026-0790"/>
    <x v="212"/>
    <x v="7"/>
    <s v="PRD-001"/>
    <x v="7"/>
    <x v="0"/>
    <s v="SHO"/>
    <x v="2"/>
    <n v="14"/>
    <n v="1500000"/>
    <n v="21000000"/>
    <n v="0.1"/>
    <x v="0"/>
    <s v="ACT-134-SHO-0790"/>
  </r>
  <r>
    <s v="TRX-2026-0791"/>
    <x v="117"/>
    <x v="3"/>
    <s v="PRD-004"/>
    <x v="1"/>
    <x v="1"/>
    <s v="TIK"/>
    <x v="1"/>
    <n v="3"/>
    <n v="2500000"/>
    <n v="7500000"/>
    <n v="0"/>
    <x v="0"/>
    <s v="ACT-344-TIK-0791"/>
  </r>
  <r>
    <s v="TRX-2026-0792"/>
    <x v="43"/>
    <x v="0"/>
    <s v="PRD-001"/>
    <x v="7"/>
    <x v="0"/>
    <s v="SHO"/>
    <x v="2"/>
    <n v="2"/>
    <n v="1500000"/>
    <n v="3000000"/>
    <n v="0.1"/>
    <x v="3"/>
    <s v="ACT-461-SHO-0792"/>
  </r>
  <r>
    <s v="TRX-2026-0793"/>
    <x v="11"/>
    <x v="0"/>
    <s v="PRD-007"/>
    <x v="2"/>
    <x v="2"/>
    <s v="BLI"/>
    <x v="3"/>
    <n v="10"/>
    <n v="2000000"/>
    <n v="20000000"/>
    <n v="0.05"/>
    <x v="1"/>
    <s v="ACT-115-BLI-0793"/>
  </r>
  <r>
    <s v="TRX-2026-0794"/>
    <x v="197"/>
    <x v="3"/>
    <s v="PRD-002"/>
    <x v="0"/>
    <x v="0"/>
    <s v="TOK"/>
    <x v="0"/>
    <n v="9"/>
    <n v="3500000"/>
    <n v="31500000"/>
    <n v="0.1"/>
    <x v="2"/>
    <s v="ACT-949-TOK-0794"/>
  </r>
  <r>
    <s v="TRX-2026-0795"/>
    <x v="170"/>
    <x v="5"/>
    <s v="PRD-006"/>
    <x v="4"/>
    <x v="4"/>
    <s v="LAZ"/>
    <x v="4"/>
    <n v="14"/>
    <n v="750000"/>
    <n v="10500000"/>
    <n v="0.1"/>
    <x v="0"/>
    <s v="ACT-720-LAZ-0795"/>
  </r>
  <r>
    <s v="TRX-2026-0796"/>
    <x v="61"/>
    <x v="1"/>
    <s v="PRD-008"/>
    <x v="6"/>
    <x v="5"/>
    <s v="BLI"/>
    <x v="3"/>
    <n v="10"/>
    <n v="4000000"/>
    <n v="40000000"/>
    <n v="0"/>
    <x v="0"/>
    <s v="ACT-279-BLI-0796"/>
  </r>
  <r>
    <s v="TRX-2026-0797"/>
    <x v="178"/>
    <x v="7"/>
    <s v="PRD-002"/>
    <x v="0"/>
    <x v="0"/>
    <s v="TIK"/>
    <x v="1"/>
    <n v="2"/>
    <n v="3500000"/>
    <n v="7000000"/>
    <n v="0.1"/>
    <x v="0"/>
    <s v="ACT-219-TIK-0797"/>
  </r>
  <r>
    <s v="TRX-2026-0798"/>
    <x v="69"/>
    <x v="3"/>
    <s v="PRD-005"/>
    <x v="5"/>
    <x v="1"/>
    <s v="TIK"/>
    <x v="1"/>
    <n v="14"/>
    <n v="5500000"/>
    <n v="77000000"/>
    <n v="0.1"/>
    <x v="2"/>
    <s v="ACT-553-TIK-0798"/>
  </r>
  <r>
    <s v="TRX-2026-0799"/>
    <x v="181"/>
    <x v="7"/>
    <s v="PRD-008"/>
    <x v="6"/>
    <x v="5"/>
    <s v="SHO"/>
    <x v="2"/>
    <n v="13"/>
    <n v="4000000"/>
    <n v="52000000"/>
    <n v="0.1"/>
    <x v="3"/>
    <s v="ACT-797-SHO-0799"/>
  </r>
  <r>
    <s v="TRX-2026-0800"/>
    <x v="15"/>
    <x v="7"/>
    <s v="PRD-001"/>
    <x v="7"/>
    <x v="0"/>
    <s v="BLI"/>
    <x v="3"/>
    <n v="2"/>
    <n v="1500000"/>
    <n v="3000000"/>
    <n v="0.1"/>
    <x v="0"/>
    <s v="ACT-491-BLI-0800"/>
  </r>
  <r>
    <s v="TRX-2026-0801"/>
    <x v="186"/>
    <x v="0"/>
    <s v="PRD-004"/>
    <x v="1"/>
    <x v="1"/>
    <s v="SHO"/>
    <x v="2"/>
    <n v="13"/>
    <n v="2500000"/>
    <n v="32500000"/>
    <n v="0.1"/>
    <x v="3"/>
    <s v="ACT-461-SHO-0801"/>
  </r>
  <r>
    <s v="TRX-2026-0802"/>
    <x v="89"/>
    <x v="5"/>
    <s v="PRD-001"/>
    <x v="7"/>
    <x v="0"/>
    <s v="LAZ"/>
    <x v="4"/>
    <n v="4"/>
    <n v="1500000"/>
    <n v="6000000"/>
    <n v="0.1"/>
    <x v="0"/>
    <s v="ACT-508-LAZ-0802"/>
  </r>
  <r>
    <s v="TRX-2026-0803"/>
    <x v="125"/>
    <x v="0"/>
    <s v="PRD-006"/>
    <x v="4"/>
    <x v="4"/>
    <s v="TOK"/>
    <x v="0"/>
    <n v="9"/>
    <n v="750000"/>
    <n v="6750000"/>
    <n v="0.05"/>
    <x v="3"/>
    <s v="ACT-421-TOK-0803"/>
  </r>
  <r>
    <s v="TRX-2026-0804"/>
    <x v="157"/>
    <x v="7"/>
    <s v="PRD-004"/>
    <x v="1"/>
    <x v="1"/>
    <s v="TIK"/>
    <x v="1"/>
    <n v="5"/>
    <n v="2500000"/>
    <n v="12500000"/>
    <n v="0.05"/>
    <x v="2"/>
    <s v="ACT-799-TIK-0804"/>
  </r>
  <r>
    <s v="TRX-2026-0805"/>
    <x v="58"/>
    <x v="1"/>
    <s v="PRD-008"/>
    <x v="6"/>
    <x v="5"/>
    <s v="SHO"/>
    <x v="2"/>
    <n v="4"/>
    <n v="4000000"/>
    <n v="16000000"/>
    <n v="0.05"/>
    <x v="0"/>
    <s v="ACT-311-SHO-0805"/>
  </r>
  <r>
    <s v="TRX-2026-0806"/>
    <x v="9"/>
    <x v="1"/>
    <s v="PRD-004"/>
    <x v="1"/>
    <x v="1"/>
    <s v="SHO"/>
    <x v="2"/>
    <n v="14"/>
    <n v="2500000"/>
    <n v="35000000"/>
    <n v="0.1"/>
    <x v="0"/>
    <s v="ACT-897-SHO-0806"/>
  </r>
  <r>
    <s v="TRX-2026-0807"/>
    <x v="81"/>
    <x v="2"/>
    <s v="PRD-002"/>
    <x v="0"/>
    <x v="0"/>
    <s v="TOK"/>
    <x v="0"/>
    <n v="11"/>
    <n v="3500000"/>
    <n v="38500000"/>
    <n v="0.15"/>
    <x v="1"/>
    <s v="ACT-106-TOK-0807"/>
  </r>
  <r>
    <s v="TRX-2026-0808"/>
    <x v="5"/>
    <x v="3"/>
    <s v="PRD-001"/>
    <x v="7"/>
    <x v="0"/>
    <s v="BLI"/>
    <x v="3"/>
    <n v="6"/>
    <n v="1500000"/>
    <n v="9000000"/>
    <n v="0.1"/>
    <x v="3"/>
    <s v="ACT-688-BLI-0808"/>
  </r>
  <r>
    <s v="TRX-2026-0809"/>
    <x v="129"/>
    <x v="6"/>
    <s v="PRD-008"/>
    <x v="6"/>
    <x v="5"/>
    <s v="SHO"/>
    <x v="2"/>
    <n v="13"/>
    <n v="4000000"/>
    <n v="52000000"/>
    <n v="0.1"/>
    <x v="3"/>
    <s v="ACT-327-SHO-0809"/>
  </r>
  <r>
    <s v="TRX-2026-0810"/>
    <x v="195"/>
    <x v="3"/>
    <s v="PRD-003"/>
    <x v="3"/>
    <x v="3"/>
    <s v="TOK"/>
    <x v="0"/>
    <n v="9"/>
    <n v="12000000"/>
    <n v="108000000"/>
    <n v="0.15"/>
    <x v="3"/>
    <s v="ACT-653-TOK-0810"/>
  </r>
  <r>
    <s v="TRX-2026-0811"/>
    <x v="14"/>
    <x v="2"/>
    <s v="PRD-006"/>
    <x v="4"/>
    <x v="4"/>
    <s v="BLI"/>
    <x v="3"/>
    <n v="14"/>
    <n v="750000"/>
    <n v="10500000"/>
    <n v="0.05"/>
    <x v="3"/>
    <s v="ACT-223-BLI-0811"/>
  </r>
  <r>
    <s v="TRX-2026-0812"/>
    <x v="37"/>
    <x v="0"/>
    <s v="PRD-008"/>
    <x v="6"/>
    <x v="5"/>
    <s v="LAZ"/>
    <x v="4"/>
    <n v="12"/>
    <n v="4000000"/>
    <n v="48000000"/>
    <n v="0"/>
    <x v="0"/>
    <s v="ACT-790-LAZ-0812"/>
  </r>
  <r>
    <s v="TRX-2026-0813"/>
    <x v="44"/>
    <x v="1"/>
    <s v="PRD-007"/>
    <x v="2"/>
    <x v="2"/>
    <s v="TIK"/>
    <x v="1"/>
    <n v="2"/>
    <n v="2000000"/>
    <n v="4000000"/>
    <n v="0.1"/>
    <x v="0"/>
    <s v="ACT-727-TIK-0813"/>
  </r>
  <r>
    <s v="TRX-2026-0814"/>
    <x v="8"/>
    <x v="4"/>
    <s v="PRD-005"/>
    <x v="5"/>
    <x v="1"/>
    <s v="SHO"/>
    <x v="2"/>
    <n v="9"/>
    <n v="5500000"/>
    <n v="49500000"/>
    <n v="0.1"/>
    <x v="0"/>
    <s v="ACT-375-SHO-0814"/>
  </r>
  <r>
    <s v="TRX-2026-0815"/>
    <x v="102"/>
    <x v="5"/>
    <s v="PRD-006"/>
    <x v="4"/>
    <x v="4"/>
    <s v="LAZ"/>
    <x v="4"/>
    <n v="3"/>
    <n v="750000"/>
    <n v="2250000"/>
    <n v="0.15"/>
    <x v="3"/>
    <s v="ACT-315-LAZ-0815"/>
  </r>
  <r>
    <s v="TRX-2026-0816"/>
    <x v="132"/>
    <x v="7"/>
    <s v="PRD-006"/>
    <x v="4"/>
    <x v="4"/>
    <s v="LAZ"/>
    <x v="4"/>
    <n v="14"/>
    <n v="750000"/>
    <n v="10500000"/>
    <n v="0.15"/>
    <x v="0"/>
    <s v="ACT-561-LAZ-0816"/>
  </r>
  <r>
    <s v="TRX-2026-0817"/>
    <x v="196"/>
    <x v="1"/>
    <s v="PRD-003"/>
    <x v="3"/>
    <x v="3"/>
    <s v="TIK"/>
    <x v="1"/>
    <n v="11"/>
    <n v="12000000"/>
    <n v="132000000"/>
    <n v="0.05"/>
    <x v="0"/>
    <s v="ACT-838-TIK-0817"/>
  </r>
  <r>
    <s v="TRX-2026-0818"/>
    <x v="161"/>
    <x v="6"/>
    <s v="PRD-004"/>
    <x v="1"/>
    <x v="1"/>
    <s v="TIK"/>
    <x v="1"/>
    <n v="7"/>
    <n v="2500000"/>
    <n v="17500000"/>
    <n v="0.15"/>
    <x v="0"/>
    <s v="ACT-249-TIK-0818"/>
  </r>
  <r>
    <s v="TRX-2026-0819"/>
    <x v="32"/>
    <x v="3"/>
    <s v="PRD-003"/>
    <x v="3"/>
    <x v="3"/>
    <s v="BLI"/>
    <x v="3"/>
    <n v="13"/>
    <n v="12000000"/>
    <n v="156000000"/>
    <n v="0"/>
    <x v="0"/>
    <s v="ACT-531-BLI-0819"/>
  </r>
  <r>
    <s v="TRX-2026-0820"/>
    <x v="203"/>
    <x v="5"/>
    <s v="PRD-003"/>
    <x v="3"/>
    <x v="3"/>
    <s v="TIK"/>
    <x v="1"/>
    <n v="9"/>
    <n v="12000000"/>
    <n v="108000000"/>
    <n v="0.1"/>
    <x v="3"/>
    <s v="ACT-407-TIK-0820"/>
  </r>
  <r>
    <s v="TRX-2026-0821"/>
    <x v="45"/>
    <x v="6"/>
    <s v="PRD-001"/>
    <x v="7"/>
    <x v="0"/>
    <s v="BLI"/>
    <x v="3"/>
    <n v="2"/>
    <n v="1500000"/>
    <n v="3000000"/>
    <n v="0.05"/>
    <x v="0"/>
    <s v="ACT-320-BLI-0821"/>
  </r>
  <r>
    <s v="TRX-2026-0822"/>
    <x v="22"/>
    <x v="3"/>
    <s v="PRD-005"/>
    <x v="5"/>
    <x v="1"/>
    <s v="BLI"/>
    <x v="3"/>
    <n v="14"/>
    <n v="5500000"/>
    <n v="77000000"/>
    <n v="0"/>
    <x v="3"/>
    <s v="ACT-862-BLI-0822"/>
  </r>
  <r>
    <s v="TRX-2026-0823"/>
    <x v="109"/>
    <x v="6"/>
    <s v="PRD-005"/>
    <x v="5"/>
    <x v="1"/>
    <s v="LAZ"/>
    <x v="4"/>
    <n v="6"/>
    <n v="5500000"/>
    <n v="33000000"/>
    <n v="0.1"/>
    <x v="0"/>
    <s v="ACT-120-LAZ-0823"/>
  </r>
  <r>
    <s v="TRX-2026-0824"/>
    <x v="137"/>
    <x v="7"/>
    <s v="PRD-002"/>
    <x v="0"/>
    <x v="0"/>
    <s v="LAZ"/>
    <x v="4"/>
    <n v="14"/>
    <n v="3500000"/>
    <n v="49000000"/>
    <n v="0.05"/>
    <x v="1"/>
    <s v="ACT-689-LAZ-0824"/>
  </r>
  <r>
    <s v="TRX-2026-0825"/>
    <x v="184"/>
    <x v="0"/>
    <s v="PRD-003"/>
    <x v="3"/>
    <x v="3"/>
    <s v="LAZ"/>
    <x v="4"/>
    <n v="6"/>
    <n v="12000000"/>
    <n v="72000000"/>
    <n v="0.1"/>
    <x v="2"/>
    <s v="ACT-622-LAZ-0825"/>
  </r>
  <r>
    <s v="TRX-2026-0826"/>
    <x v="35"/>
    <x v="5"/>
    <s v="PRD-008"/>
    <x v="6"/>
    <x v="5"/>
    <s v="TOK"/>
    <x v="0"/>
    <n v="7"/>
    <n v="4000000"/>
    <n v="28000000"/>
    <n v="0.1"/>
    <x v="3"/>
    <s v="ACT-746-TOK-0826"/>
  </r>
  <r>
    <s v="TRX-2026-0827"/>
    <x v="144"/>
    <x v="1"/>
    <s v="PRD-003"/>
    <x v="3"/>
    <x v="3"/>
    <s v="LAZ"/>
    <x v="4"/>
    <n v="7"/>
    <n v="12000000"/>
    <n v="84000000"/>
    <n v="0.15"/>
    <x v="0"/>
    <s v="ACT-181-LAZ-0827"/>
  </r>
  <r>
    <s v="TRX-2026-0828"/>
    <x v="165"/>
    <x v="1"/>
    <s v="PRD-006"/>
    <x v="4"/>
    <x v="4"/>
    <s v="SHO"/>
    <x v="2"/>
    <n v="6"/>
    <n v="750000"/>
    <n v="4500000"/>
    <n v="0.1"/>
    <x v="2"/>
    <s v="ACT-398-SHO-0828"/>
  </r>
  <r>
    <s v="TRX-2026-0829"/>
    <x v="151"/>
    <x v="3"/>
    <s v="PRD-005"/>
    <x v="5"/>
    <x v="1"/>
    <s v="TIK"/>
    <x v="1"/>
    <n v="11"/>
    <n v="5500000"/>
    <n v="60500000"/>
    <n v="0.15"/>
    <x v="0"/>
    <s v="ACT-555-TIK-0829"/>
  </r>
  <r>
    <s v="TRX-2026-0830"/>
    <x v="187"/>
    <x v="3"/>
    <s v="PRD-006"/>
    <x v="4"/>
    <x v="4"/>
    <s v="TIK"/>
    <x v="1"/>
    <n v="9"/>
    <n v="750000"/>
    <n v="6750000"/>
    <n v="0.15"/>
    <x v="3"/>
    <s v="ACT-271-TIK-0830"/>
  </r>
  <r>
    <s v="TRX-2026-0831"/>
    <x v="193"/>
    <x v="1"/>
    <s v="PRD-001"/>
    <x v="7"/>
    <x v="0"/>
    <s v="SHO"/>
    <x v="2"/>
    <n v="12"/>
    <n v="1500000"/>
    <n v="18000000"/>
    <n v="0.05"/>
    <x v="2"/>
    <s v="ACT-357-SHO-0831"/>
  </r>
  <r>
    <s v="TRX-2026-0832"/>
    <x v="94"/>
    <x v="3"/>
    <s v="PRD-002"/>
    <x v="0"/>
    <x v="0"/>
    <s v="SHO"/>
    <x v="2"/>
    <n v="3"/>
    <n v="3500000"/>
    <n v="10500000"/>
    <n v="0.15"/>
    <x v="0"/>
    <s v="ACT-197-SHO-0832"/>
  </r>
  <r>
    <s v="TRX-2026-0833"/>
    <x v="72"/>
    <x v="2"/>
    <s v="PRD-008"/>
    <x v="6"/>
    <x v="5"/>
    <s v="TIK"/>
    <x v="1"/>
    <n v="1"/>
    <n v="4000000"/>
    <n v="4000000"/>
    <n v="0"/>
    <x v="3"/>
    <s v="ACT-636-TIK-0833"/>
  </r>
  <r>
    <s v="TRX-2026-0834"/>
    <x v="5"/>
    <x v="3"/>
    <s v="PRD-002"/>
    <x v="0"/>
    <x v="0"/>
    <s v="TOK"/>
    <x v="0"/>
    <n v="5"/>
    <n v="3500000"/>
    <n v="17500000"/>
    <n v="0.05"/>
    <x v="0"/>
    <s v="ACT-770-TOK-0834"/>
  </r>
  <r>
    <s v="TRX-2026-0835"/>
    <x v="163"/>
    <x v="7"/>
    <s v="PRD-005"/>
    <x v="5"/>
    <x v="1"/>
    <s v="SHO"/>
    <x v="2"/>
    <n v="4"/>
    <n v="5500000"/>
    <n v="22000000"/>
    <n v="0.1"/>
    <x v="3"/>
    <s v="ACT-741-SHO-0835"/>
  </r>
  <r>
    <s v="TRX-2026-0836"/>
    <x v="116"/>
    <x v="1"/>
    <s v="PRD-003"/>
    <x v="3"/>
    <x v="3"/>
    <s v="TIK"/>
    <x v="1"/>
    <n v="14"/>
    <n v="12000000"/>
    <n v="168000000"/>
    <n v="0.05"/>
    <x v="0"/>
    <s v="ACT-135-TIK-0836"/>
  </r>
  <r>
    <s v="TRX-2026-0837"/>
    <x v="130"/>
    <x v="0"/>
    <s v="PRD-006"/>
    <x v="4"/>
    <x v="4"/>
    <s v="LAZ"/>
    <x v="4"/>
    <n v="14"/>
    <n v="750000"/>
    <n v="10500000"/>
    <n v="0.15"/>
    <x v="3"/>
    <s v="ACT-991-LAZ-0837"/>
  </r>
  <r>
    <s v="TRX-2026-0838"/>
    <x v="177"/>
    <x v="5"/>
    <s v="PRD-005"/>
    <x v="5"/>
    <x v="1"/>
    <s v="TIK"/>
    <x v="1"/>
    <n v="8"/>
    <n v="5500000"/>
    <n v="44000000"/>
    <n v="0.05"/>
    <x v="2"/>
    <s v="ACT-652-TIK-0838"/>
  </r>
  <r>
    <s v="TRX-2026-0839"/>
    <x v="52"/>
    <x v="1"/>
    <s v="PRD-008"/>
    <x v="6"/>
    <x v="5"/>
    <s v="TIK"/>
    <x v="1"/>
    <n v="7"/>
    <n v="4000000"/>
    <n v="28000000"/>
    <n v="0.1"/>
    <x v="0"/>
    <s v="ACT-593-TIK-0839"/>
  </r>
  <r>
    <s v="TRX-2026-0840"/>
    <x v="177"/>
    <x v="5"/>
    <s v="PRD-004"/>
    <x v="1"/>
    <x v="1"/>
    <s v="TOK"/>
    <x v="0"/>
    <n v="8"/>
    <n v="2500000"/>
    <n v="20000000"/>
    <n v="0.1"/>
    <x v="0"/>
    <s v="ACT-522-TOK-0840"/>
  </r>
  <r>
    <s v="TRX-2026-0841"/>
    <x v="56"/>
    <x v="6"/>
    <s v="PRD-003"/>
    <x v="3"/>
    <x v="3"/>
    <s v="LAZ"/>
    <x v="4"/>
    <n v="1"/>
    <n v="12000000"/>
    <n v="12000000"/>
    <n v="0"/>
    <x v="1"/>
    <s v="ACT-934-LAZ-0841"/>
  </r>
  <r>
    <s v="TRX-2026-0842"/>
    <x v="90"/>
    <x v="3"/>
    <s v="PRD-003"/>
    <x v="3"/>
    <x v="3"/>
    <s v="LAZ"/>
    <x v="4"/>
    <n v="5"/>
    <n v="12000000"/>
    <n v="60000000"/>
    <n v="0.15"/>
    <x v="1"/>
    <s v="ACT-108-LAZ-0842"/>
  </r>
  <r>
    <s v="TRX-2026-0843"/>
    <x v="123"/>
    <x v="0"/>
    <s v="PRD-008"/>
    <x v="6"/>
    <x v="5"/>
    <s v="BLI"/>
    <x v="3"/>
    <n v="5"/>
    <n v="4000000"/>
    <n v="20000000"/>
    <n v="0"/>
    <x v="3"/>
    <s v="ACT-917-BLI-0843"/>
  </r>
  <r>
    <s v="TRX-2026-0844"/>
    <x v="113"/>
    <x v="6"/>
    <s v="PRD-004"/>
    <x v="1"/>
    <x v="1"/>
    <s v="TOK"/>
    <x v="0"/>
    <n v="9"/>
    <n v="2500000"/>
    <n v="22500000"/>
    <n v="0.1"/>
    <x v="0"/>
    <s v="ACT-521-TOK-0844"/>
  </r>
  <r>
    <s v="TRX-2026-0845"/>
    <x v="170"/>
    <x v="5"/>
    <s v="PRD-007"/>
    <x v="2"/>
    <x v="2"/>
    <s v="BLI"/>
    <x v="3"/>
    <n v="4"/>
    <n v="2000000"/>
    <n v="8000000"/>
    <n v="0.05"/>
    <x v="2"/>
    <s v="ACT-854-BLI-0845"/>
  </r>
  <r>
    <s v="TRX-2026-0846"/>
    <x v="84"/>
    <x v="0"/>
    <s v="PRD-007"/>
    <x v="2"/>
    <x v="2"/>
    <s v="BLI"/>
    <x v="3"/>
    <n v="4"/>
    <n v="2000000"/>
    <n v="8000000"/>
    <n v="0.1"/>
    <x v="0"/>
    <s v="ACT-532-BLI-0846"/>
  </r>
  <r>
    <s v="TRX-2026-0847"/>
    <x v="16"/>
    <x v="0"/>
    <s v="PRD-004"/>
    <x v="1"/>
    <x v="1"/>
    <s v="TIK"/>
    <x v="1"/>
    <n v="13"/>
    <n v="2500000"/>
    <n v="32500000"/>
    <n v="0.1"/>
    <x v="0"/>
    <s v="ACT-764-TIK-0847"/>
  </r>
  <r>
    <s v="TRX-2026-0848"/>
    <x v="94"/>
    <x v="3"/>
    <s v="PRD-005"/>
    <x v="5"/>
    <x v="1"/>
    <s v="BLI"/>
    <x v="3"/>
    <n v="4"/>
    <n v="5500000"/>
    <n v="22000000"/>
    <n v="0"/>
    <x v="0"/>
    <s v="ACT-239-BLI-0848"/>
  </r>
  <r>
    <s v="TRX-2026-0849"/>
    <x v="113"/>
    <x v="6"/>
    <s v="PRD-002"/>
    <x v="0"/>
    <x v="0"/>
    <s v="BLI"/>
    <x v="3"/>
    <n v="10"/>
    <n v="3500000"/>
    <n v="35000000"/>
    <n v="0.15"/>
    <x v="0"/>
    <s v="ACT-817-BLI-0849"/>
  </r>
  <r>
    <s v="TRX-2026-0850"/>
    <x v="59"/>
    <x v="0"/>
    <s v="PRD-008"/>
    <x v="6"/>
    <x v="5"/>
    <s v="SHO"/>
    <x v="2"/>
    <n v="6"/>
    <n v="4000000"/>
    <n v="24000000"/>
    <n v="0"/>
    <x v="0"/>
    <s v="ACT-150-SHO-0850"/>
  </r>
  <r>
    <s v="TRX-2026-0851"/>
    <x v="190"/>
    <x v="5"/>
    <s v="PRD-001"/>
    <x v="7"/>
    <x v="0"/>
    <s v="SHO"/>
    <x v="2"/>
    <n v="2"/>
    <n v="1500000"/>
    <n v="3000000"/>
    <n v="0.1"/>
    <x v="0"/>
    <s v="ACT-228-SHO-0851"/>
  </r>
  <r>
    <s v="TRX-2026-0852"/>
    <x v="3"/>
    <x v="3"/>
    <s v="PRD-008"/>
    <x v="6"/>
    <x v="5"/>
    <s v="TOK"/>
    <x v="0"/>
    <n v="4"/>
    <n v="4000000"/>
    <n v="16000000"/>
    <n v="0"/>
    <x v="0"/>
    <s v="ACT-115-TOK-0852"/>
  </r>
  <r>
    <s v="TRX-2026-0853"/>
    <x v="88"/>
    <x v="5"/>
    <s v="PRD-004"/>
    <x v="1"/>
    <x v="1"/>
    <s v="LAZ"/>
    <x v="4"/>
    <n v="7"/>
    <n v="2500000"/>
    <n v="17500000"/>
    <n v="0.1"/>
    <x v="3"/>
    <s v="ACT-480-LAZ-0853"/>
  </r>
  <r>
    <s v="TRX-2026-0854"/>
    <x v="68"/>
    <x v="7"/>
    <s v="PRD-001"/>
    <x v="7"/>
    <x v="0"/>
    <s v="LAZ"/>
    <x v="4"/>
    <n v="2"/>
    <n v="1500000"/>
    <n v="3000000"/>
    <n v="0.05"/>
    <x v="0"/>
    <s v="ACT-372-LAZ-0854"/>
  </r>
  <r>
    <s v="TRX-2026-0855"/>
    <x v="150"/>
    <x v="3"/>
    <s v="PRD-007"/>
    <x v="2"/>
    <x v="2"/>
    <s v="TOK"/>
    <x v="0"/>
    <n v="9"/>
    <n v="2000000"/>
    <n v="18000000"/>
    <n v="0.15"/>
    <x v="0"/>
    <s v="ACT-296-TOK-0855"/>
  </r>
  <r>
    <s v="TRX-2026-0856"/>
    <x v="77"/>
    <x v="4"/>
    <s v="PRD-005"/>
    <x v="5"/>
    <x v="1"/>
    <s v="BLI"/>
    <x v="3"/>
    <n v="14"/>
    <n v="5500000"/>
    <n v="77000000"/>
    <n v="0"/>
    <x v="0"/>
    <s v="ACT-886-BLI-0856"/>
  </r>
  <r>
    <s v="TRX-2026-0857"/>
    <x v="155"/>
    <x v="3"/>
    <s v="PRD-004"/>
    <x v="1"/>
    <x v="1"/>
    <s v="BLI"/>
    <x v="3"/>
    <n v="13"/>
    <n v="2500000"/>
    <n v="32500000"/>
    <n v="0.15"/>
    <x v="0"/>
    <s v="ACT-855-BLI-0857"/>
  </r>
  <r>
    <s v="TRX-2026-0858"/>
    <x v="14"/>
    <x v="2"/>
    <s v="PRD-004"/>
    <x v="1"/>
    <x v="1"/>
    <s v="BLI"/>
    <x v="3"/>
    <n v="12"/>
    <n v="2500000"/>
    <n v="30000000"/>
    <n v="0"/>
    <x v="1"/>
    <s v="ACT-781-BLI-0858"/>
  </r>
  <r>
    <s v="TRX-2026-0859"/>
    <x v="44"/>
    <x v="1"/>
    <s v="PRD-008"/>
    <x v="6"/>
    <x v="5"/>
    <s v="BLI"/>
    <x v="3"/>
    <n v="11"/>
    <n v="4000000"/>
    <n v="44000000"/>
    <n v="0.1"/>
    <x v="0"/>
    <s v="ACT-262-BLI-0859"/>
  </r>
  <r>
    <s v="TRX-2026-0860"/>
    <x v="27"/>
    <x v="0"/>
    <s v="PRD-001"/>
    <x v="7"/>
    <x v="0"/>
    <s v="TIK"/>
    <x v="1"/>
    <n v="9"/>
    <n v="1500000"/>
    <n v="13500000"/>
    <n v="0"/>
    <x v="0"/>
    <s v="ACT-592-TIK-0860"/>
  </r>
  <r>
    <s v="TRX-2026-0861"/>
    <x v="0"/>
    <x v="0"/>
    <s v="PRD-005"/>
    <x v="5"/>
    <x v="1"/>
    <s v="SHO"/>
    <x v="2"/>
    <n v="6"/>
    <n v="5500000"/>
    <n v="33000000"/>
    <n v="0"/>
    <x v="2"/>
    <s v="ACT-323-SHO-0861"/>
  </r>
  <r>
    <s v="TRX-2026-0862"/>
    <x v="175"/>
    <x v="2"/>
    <s v="PRD-004"/>
    <x v="1"/>
    <x v="1"/>
    <s v="BLI"/>
    <x v="3"/>
    <n v="6"/>
    <n v="2500000"/>
    <n v="15000000"/>
    <n v="0"/>
    <x v="0"/>
    <s v="ACT-913-BLI-0862"/>
  </r>
  <r>
    <s v="TRX-2026-0863"/>
    <x v="129"/>
    <x v="6"/>
    <s v="PRD-002"/>
    <x v="0"/>
    <x v="0"/>
    <s v="BLI"/>
    <x v="3"/>
    <n v="13"/>
    <n v="3500000"/>
    <n v="45500000"/>
    <n v="0.05"/>
    <x v="0"/>
    <s v="ACT-143-BLI-0863"/>
  </r>
  <r>
    <s v="TRX-2026-0864"/>
    <x v="38"/>
    <x v="5"/>
    <s v="PRD-008"/>
    <x v="6"/>
    <x v="5"/>
    <s v="TIK"/>
    <x v="1"/>
    <n v="3"/>
    <n v="4000000"/>
    <n v="12000000"/>
    <n v="0.1"/>
    <x v="0"/>
    <s v="ACT-354-TIK-0864"/>
  </r>
  <r>
    <s v="TRX-2026-0865"/>
    <x v="42"/>
    <x v="1"/>
    <s v="PRD-008"/>
    <x v="6"/>
    <x v="5"/>
    <s v="TOK"/>
    <x v="0"/>
    <n v="11"/>
    <n v="4000000"/>
    <n v="44000000"/>
    <n v="0.1"/>
    <x v="2"/>
    <s v="ACT-161-TOK-0865"/>
  </r>
  <r>
    <s v="TRX-2026-0866"/>
    <x v="148"/>
    <x v="2"/>
    <s v="PRD-006"/>
    <x v="4"/>
    <x v="4"/>
    <s v="SHO"/>
    <x v="2"/>
    <n v="12"/>
    <n v="750000"/>
    <n v="9000000"/>
    <n v="0"/>
    <x v="0"/>
    <s v="ACT-599-SHO-0866"/>
  </r>
  <r>
    <s v="TRX-2026-0867"/>
    <x v="126"/>
    <x v="6"/>
    <s v="PRD-006"/>
    <x v="4"/>
    <x v="4"/>
    <s v="TIK"/>
    <x v="1"/>
    <n v="13"/>
    <n v="750000"/>
    <n v="9750000"/>
    <n v="0.1"/>
    <x v="3"/>
    <s v="ACT-850-TIK-0867"/>
  </r>
  <r>
    <s v="TRX-2026-0868"/>
    <x v="61"/>
    <x v="1"/>
    <s v="PRD-001"/>
    <x v="7"/>
    <x v="0"/>
    <s v="BLI"/>
    <x v="3"/>
    <n v="6"/>
    <n v="1500000"/>
    <n v="9000000"/>
    <n v="0.05"/>
    <x v="0"/>
    <s v="ACT-140-BLI-0868"/>
  </r>
  <r>
    <s v="TRX-2026-0869"/>
    <x v="35"/>
    <x v="5"/>
    <s v="PRD-008"/>
    <x v="6"/>
    <x v="5"/>
    <s v="TIK"/>
    <x v="1"/>
    <n v="5"/>
    <n v="4000000"/>
    <n v="20000000"/>
    <n v="0.15"/>
    <x v="0"/>
    <s v="ACT-680-TIK-0869"/>
  </r>
  <r>
    <s v="TRX-2026-0870"/>
    <x v="193"/>
    <x v="1"/>
    <s v="PRD-006"/>
    <x v="4"/>
    <x v="4"/>
    <s v="LAZ"/>
    <x v="4"/>
    <n v="12"/>
    <n v="750000"/>
    <n v="9000000"/>
    <n v="0.15"/>
    <x v="0"/>
    <s v="ACT-988-LAZ-0870"/>
  </r>
  <r>
    <s v="TRX-2026-0871"/>
    <x v="78"/>
    <x v="4"/>
    <s v="PRD-003"/>
    <x v="3"/>
    <x v="3"/>
    <s v="TOK"/>
    <x v="0"/>
    <n v="9"/>
    <n v="12000000"/>
    <n v="108000000"/>
    <n v="0.05"/>
    <x v="3"/>
    <s v="ACT-402-TOK-0871"/>
  </r>
  <r>
    <s v="TRX-2026-0872"/>
    <x v="209"/>
    <x v="3"/>
    <s v="PRD-005"/>
    <x v="5"/>
    <x v="1"/>
    <s v="TIK"/>
    <x v="1"/>
    <n v="6"/>
    <n v="5500000"/>
    <n v="33000000"/>
    <n v="0.15"/>
    <x v="0"/>
    <s v="ACT-894-TIK-0872"/>
  </r>
  <r>
    <s v="TRX-2026-0873"/>
    <x v="0"/>
    <x v="0"/>
    <s v="PRD-007"/>
    <x v="2"/>
    <x v="2"/>
    <s v="SHO"/>
    <x v="2"/>
    <n v="15"/>
    <n v="2000000"/>
    <n v="30000000"/>
    <n v="0"/>
    <x v="1"/>
    <s v="ACT-977-SHO-0873"/>
  </r>
  <r>
    <s v="TRX-2026-0874"/>
    <x v="213"/>
    <x v="7"/>
    <s v="PRD-004"/>
    <x v="1"/>
    <x v="1"/>
    <s v="LAZ"/>
    <x v="4"/>
    <n v="12"/>
    <n v="2500000"/>
    <n v="30000000"/>
    <n v="0"/>
    <x v="2"/>
    <s v="ACT-651-LAZ-0874"/>
  </r>
  <r>
    <s v="TRX-2026-0875"/>
    <x v="209"/>
    <x v="3"/>
    <s v="PRD-007"/>
    <x v="2"/>
    <x v="2"/>
    <s v="SHO"/>
    <x v="2"/>
    <n v="9"/>
    <n v="2000000"/>
    <n v="18000000"/>
    <n v="0.15"/>
    <x v="1"/>
    <s v="ACT-257-SHO-0875"/>
  </r>
  <r>
    <s v="TRX-2026-0876"/>
    <x v="65"/>
    <x v="0"/>
    <s v="PRD-005"/>
    <x v="5"/>
    <x v="1"/>
    <s v="LAZ"/>
    <x v="4"/>
    <n v="7"/>
    <n v="5500000"/>
    <n v="38500000"/>
    <n v="0.1"/>
    <x v="0"/>
    <s v="ACT-198-LAZ-0876"/>
  </r>
  <r>
    <s v="TRX-2026-0877"/>
    <x v="149"/>
    <x v="5"/>
    <s v="PRD-002"/>
    <x v="0"/>
    <x v="0"/>
    <s v="TOK"/>
    <x v="0"/>
    <n v="14"/>
    <n v="3500000"/>
    <n v="49000000"/>
    <n v="0.05"/>
    <x v="0"/>
    <s v="ACT-994-TOK-0877"/>
  </r>
  <r>
    <s v="TRX-2026-0878"/>
    <x v="14"/>
    <x v="2"/>
    <s v="PRD-004"/>
    <x v="1"/>
    <x v="1"/>
    <s v="TOK"/>
    <x v="0"/>
    <n v="8"/>
    <n v="2500000"/>
    <n v="20000000"/>
    <n v="0.05"/>
    <x v="0"/>
    <s v="ACT-132-TOK-0878"/>
  </r>
  <r>
    <s v="TRX-2026-0879"/>
    <x v="147"/>
    <x v="5"/>
    <s v="PRD-007"/>
    <x v="2"/>
    <x v="2"/>
    <s v="BLI"/>
    <x v="3"/>
    <n v="9"/>
    <n v="2000000"/>
    <n v="18000000"/>
    <n v="0.1"/>
    <x v="0"/>
    <s v="ACT-475-BLI-0879"/>
  </r>
  <r>
    <s v="TRX-2026-0880"/>
    <x v="143"/>
    <x v="1"/>
    <s v="PRD-002"/>
    <x v="0"/>
    <x v="0"/>
    <s v="TOK"/>
    <x v="0"/>
    <n v="15"/>
    <n v="3500000"/>
    <n v="52500000"/>
    <n v="0.05"/>
    <x v="2"/>
    <s v="ACT-603-TOK-0880"/>
  </r>
  <r>
    <s v="TRX-2026-0881"/>
    <x v="217"/>
    <x v="4"/>
    <s v="PRD-002"/>
    <x v="0"/>
    <x v="0"/>
    <s v="BLI"/>
    <x v="3"/>
    <n v="13"/>
    <n v="3500000"/>
    <n v="45500000"/>
    <n v="0"/>
    <x v="0"/>
    <s v="ACT-671-BLI-0881"/>
  </r>
  <r>
    <s v="TRX-2026-0882"/>
    <x v="94"/>
    <x v="3"/>
    <s v="PRD-007"/>
    <x v="2"/>
    <x v="2"/>
    <s v="LAZ"/>
    <x v="4"/>
    <n v="13"/>
    <n v="2000000"/>
    <n v="26000000"/>
    <n v="0"/>
    <x v="1"/>
    <s v="ACT-372-LAZ-0882"/>
  </r>
  <r>
    <s v="TRX-2026-0883"/>
    <x v="139"/>
    <x v="5"/>
    <s v="PRD-001"/>
    <x v="7"/>
    <x v="0"/>
    <s v="TOK"/>
    <x v="0"/>
    <n v="14"/>
    <n v="1500000"/>
    <n v="21000000"/>
    <n v="0.1"/>
    <x v="0"/>
    <s v="ACT-321-TOK-0883"/>
  </r>
  <r>
    <s v="TRX-2026-0884"/>
    <x v="89"/>
    <x v="5"/>
    <s v="PRD-002"/>
    <x v="0"/>
    <x v="0"/>
    <s v="TOK"/>
    <x v="0"/>
    <n v="12"/>
    <n v="3500000"/>
    <n v="42000000"/>
    <n v="0.05"/>
    <x v="1"/>
    <s v="ACT-494-TOK-0884"/>
  </r>
  <r>
    <s v="TRX-2026-0885"/>
    <x v="58"/>
    <x v="1"/>
    <s v="PRD-004"/>
    <x v="1"/>
    <x v="1"/>
    <s v="TIK"/>
    <x v="1"/>
    <n v="11"/>
    <n v="2500000"/>
    <n v="27500000"/>
    <n v="0.05"/>
    <x v="1"/>
    <s v="ACT-740-TIK-0885"/>
  </r>
  <r>
    <s v="TRX-2026-0886"/>
    <x v="52"/>
    <x v="1"/>
    <s v="PRD-007"/>
    <x v="2"/>
    <x v="2"/>
    <s v="TOK"/>
    <x v="0"/>
    <n v="13"/>
    <n v="2000000"/>
    <n v="26000000"/>
    <n v="0.1"/>
    <x v="2"/>
    <s v="ACT-569-TOK-0886"/>
  </r>
  <r>
    <s v="TRX-2026-0887"/>
    <x v="103"/>
    <x v="0"/>
    <s v="PRD-007"/>
    <x v="2"/>
    <x v="2"/>
    <s v="TOK"/>
    <x v="0"/>
    <n v="3"/>
    <n v="2000000"/>
    <n v="6000000"/>
    <n v="0.05"/>
    <x v="1"/>
    <s v="ACT-511-TOK-0887"/>
  </r>
  <r>
    <s v="TRX-2026-0888"/>
    <x v="146"/>
    <x v="5"/>
    <s v="PRD-006"/>
    <x v="4"/>
    <x v="4"/>
    <s v="SHO"/>
    <x v="2"/>
    <n v="9"/>
    <n v="750000"/>
    <n v="6750000"/>
    <n v="0.15"/>
    <x v="0"/>
    <s v="ACT-422-SHO-0888"/>
  </r>
  <r>
    <s v="TRX-2026-0889"/>
    <x v="93"/>
    <x v="5"/>
    <s v="PRD-006"/>
    <x v="4"/>
    <x v="4"/>
    <s v="LAZ"/>
    <x v="4"/>
    <n v="7"/>
    <n v="750000"/>
    <n v="5250000"/>
    <n v="0.15"/>
    <x v="2"/>
    <s v="ACT-431-LAZ-0889"/>
  </r>
  <r>
    <s v="TRX-2026-0890"/>
    <x v="166"/>
    <x v="0"/>
    <s v="PRD-004"/>
    <x v="1"/>
    <x v="1"/>
    <s v="TIK"/>
    <x v="1"/>
    <n v="9"/>
    <n v="2500000"/>
    <n v="22500000"/>
    <n v="0.05"/>
    <x v="3"/>
    <s v="ACT-884-TIK-0890"/>
  </r>
  <r>
    <s v="TRX-2026-0891"/>
    <x v="93"/>
    <x v="5"/>
    <s v="PRD-005"/>
    <x v="5"/>
    <x v="1"/>
    <s v="LAZ"/>
    <x v="4"/>
    <n v="8"/>
    <n v="5500000"/>
    <n v="44000000"/>
    <n v="0.15"/>
    <x v="3"/>
    <s v="ACT-100-LAZ-0891"/>
  </r>
  <r>
    <s v="TRX-2026-0892"/>
    <x v="114"/>
    <x v="3"/>
    <s v="PRD-001"/>
    <x v="7"/>
    <x v="0"/>
    <s v="LAZ"/>
    <x v="4"/>
    <n v="10"/>
    <n v="1500000"/>
    <n v="15000000"/>
    <n v="0"/>
    <x v="1"/>
    <s v="ACT-238-LAZ-0892"/>
  </r>
  <r>
    <s v="TRX-2026-0893"/>
    <x v="62"/>
    <x v="6"/>
    <s v="PRD-001"/>
    <x v="7"/>
    <x v="0"/>
    <s v="LAZ"/>
    <x v="4"/>
    <n v="4"/>
    <n v="1500000"/>
    <n v="6000000"/>
    <n v="0.05"/>
    <x v="0"/>
    <s v="ACT-122-LAZ-0893"/>
  </r>
  <r>
    <s v="TRX-2026-0894"/>
    <x v="83"/>
    <x v="3"/>
    <s v="PRD-005"/>
    <x v="5"/>
    <x v="1"/>
    <s v="TIK"/>
    <x v="1"/>
    <n v="9"/>
    <n v="5500000"/>
    <n v="49500000"/>
    <n v="0.05"/>
    <x v="0"/>
    <s v="ACT-138-TIK-0894"/>
  </r>
  <r>
    <s v="TRX-2026-0895"/>
    <x v="15"/>
    <x v="7"/>
    <s v="PRD-006"/>
    <x v="4"/>
    <x v="4"/>
    <s v="SHO"/>
    <x v="2"/>
    <n v="3"/>
    <n v="750000"/>
    <n v="2250000"/>
    <n v="0.1"/>
    <x v="0"/>
    <s v="ACT-696-SHO-0895"/>
  </r>
  <r>
    <s v="TRX-2026-0896"/>
    <x v="167"/>
    <x v="6"/>
    <s v="PRD-004"/>
    <x v="1"/>
    <x v="1"/>
    <s v="LAZ"/>
    <x v="4"/>
    <n v="13"/>
    <n v="2500000"/>
    <n v="32500000"/>
    <n v="0.1"/>
    <x v="0"/>
    <s v="ACT-684-LAZ-0896"/>
  </r>
  <r>
    <s v="TRX-2026-0897"/>
    <x v="200"/>
    <x v="7"/>
    <s v="PRD-004"/>
    <x v="1"/>
    <x v="1"/>
    <s v="TOK"/>
    <x v="0"/>
    <n v="12"/>
    <n v="2500000"/>
    <n v="30000000"/>
    <n v="0.1"/>
    <x v="3"/>
    <s v="ACT-277-TOK-0897"/>
  </r>
  <r>
    <s v="TRX-2026-0898"/>
    <x v="35"/>
    <x v="5"/>
    <s v="PRD-002"/>
    <x v="0"/>
    <x v="0"/>
    <s v="TIK"/>
    <x v="1"/>
    <n v="11"/>
    <n v="3500000"/>
    <n v="38500000"/>
    <n v="0.1"/>
    <x v="0"/>
    <s v="ACT-848-TIK-0898"/>
  </r>
  <r>
    <s v="TRX-2026-0899"/>
    <x v="4"/>
    <x v="3"/>
    <s v="PRD-007"/>
    <x v="2"/>
    <x v="2"/>
    <s v="TOK"/>
    <x v="0"/>
    <n v="13"/>
    <n v="2000000"/>
    <n v="26000000"/>
    <n v="0"/>
    <x v="0"/>
    <s v="ACT-456-TOK-0899"/>
  </r>
  <r>
    <s v="TRX-2026-0900"/>
    <x v="209"/>
    <x v="3"/>
    <s v="PRD-007"/>
    <x v="2"/>
    <x v="2"/>
    <s v="BLI"/>
    <x v="3"/>
    <n v="15"/>
    <n v="2000000"/>
    <n v="30000000"/>
    <n v="0"/>
    <x v="0"/>
    <s v="ACT-865-BLI-0900"/>
  </r>
  <r>
    <s v="TRX-2026-0901"/>
    <x v="43"/>
    <x v="0"/>
    <s v="PRD-001"/>
    <x v="7"/>
    <x v="0"/>
    <s v="BLI"/>
    <x v="3"/>
    <n v="1"/>
    <n v="1500000"/>
    <n v="1500000"/>
    <n v="0.1"/>
    <x v="1"/>
    <s v="ACT-142-BLI-0901"/>
  </r>
  <r>
    <s v="TRX-2026-0902"/>
    <x v="115"/>
    <x v="6"/>
    <s v="PRD-003"/>
    <x v="3"/>
    <x v="3"/>
    <s v="LAZ"/>
    <x v="4"/>
    <n v="9"/>
    <n v="12000000"/>
    <n v="108000000"/>
    <n v="0.05"/>
    <x v="0"/>
    <s v="ACT-151-LAZ-0902"/>
  </r>
  <r>
    <s v="TRX-2026-0903"/>
    <x v="125"/>
    <x v="0"/>
    <s v="PRD-007"/>
    <x v="2"/>
    <x v="2"/>
    <s v="BLI"/>
    <x v="3"/>
    <n v="13"/>
    <n v="2000000"/>
    <n v="26000000"/>
    <n v="0"/>
    <x v="0"/>
    <s v="ACT-542-BLI-0903"/>
  </r>
  <r>
    <s v="TRX-2026-0904"/>
    <x v="113"/>
    <x v="6"/>
    <s v="PRD-007"/>
    <x v="2"/>
    <x v="2"/>
    <s v="SHO"/>
    <x v="2"/>
    <n v="3"/>
    <n v="2000000"/>
    <n v="6000000"/>
    <n v="0.1"/>
    <x v="0"/>
    <s v="ACT-587-SHO-0904"/>
  </r>
  <r>
    <s v="TRX-2026-0905"/>
    <x v="147"/>
    <x v="5"/>
    <s v="PRD-001"/>
    <x v="7"/>
    <x v="0"/>
    <s v="TIK"/>
    <x v="1"/>
    <n v="7"/>
    <n v="1500000"/>
    <n v="10500000"/>
    <n v="0.1"/>
    <x v="0"/>
    <s v="ACT-508-TIK-0905"/>
  </r>
  <r>
    <s v="TRX-2026-0906"/>
    <x v="39"/>
    <x v="5"/>
    <s v="PRD-007"/>
    <x v="2"/>
    <x v="2"/>
    <s v="SHO"/>
    <x v="2"/>
    <n v="13"/>
    <n v="2000000"/>
    <n v="26000000"/>
    <n v="0.05"/>
    <x v="3"/>
    <s v="ACT-672-SHO-0906"/>
  </r>
  <r>
    <s v="TRX-2026-0907"/>
    <x v="82"/>
    <x v="1"/>
    <s v="PRD-008"/>
    <x v="6"/>
    <x v="5"/>
    <s v="BLI"/>
    <x v="3"/>
    <n v="11"/>
    <n v="4000000"/>
    <n v="44000000"/>
    <n v="0.05"/>
    <x v="1"/>
    <s v="ACT-730-BLI-0907"/>
  </r>
  <r>
    <s v="TRX-2026-0908"/>
    <x v="197"/>
    <x v="3"/>
    <s v="PRD-004"/>
    <x v="1"/>
    <x v="1"/>
    <s v="SHO"/>
    <x v="2"/>
    <n v="2"/>
    <n v="2500000"/>
    <n v="5000000"/>
    <n v="0.1"/>
    <x v="3"/>
    <s v="ACT-431-SHO-0908"/>
  </r>
  <r>
    <s v="TRX-2026-0909"/>
    <x v="119"/>
    <x v="0"/>
    <s v="PRD-002"/>
    <x v="0"/>
    <x v="0"/>
    <s v="TOK"/>
    <x v="0"/>
    <n v="11"/>
    <n v="3500000"/>
    <n v="38500000"/>
    <n v="0.15"/>
    <x v="3"/>
    <s v="ACT-474-TOK-0909"/>
  </r>
  <r>
    <s v="TRX-2026-0910"/>
    <x v="179"/>
    <x v="6"/>
    <s v="PRD-004"/>
    <x v="1"/>
    <x v="1"/>
    <s v="LAZ"/>
    <x v="4"/>
    <n v="6"/>
    <n v="2500000"/>
    <n v="15000000"/>
    <n v="0"/>
    <x v="0"/>
    <s v="ACT-273-LAZ-0910"/>
  </r>
  <r>
    <s v="TRX-2026-0911"/>
    <x v="179"/>
    <x v="6"/>
    <s v="PRD-008"/>
    <x v="6"/>
    <x v="5"/>
    <s v="TIK"/>
    <x v="1"/>
    <n v="3"/>
    <n v="4000000"/>
    <n v="12000000"/>
    <n v="0.15"/>
    <x v="0"/>
    <s v="ACT-937-TIK-0911"/>
  </r>
  <r>
    <s v="TRX-2026-0912"/>
    <x v="126"/>
    <x v="6"/>
    <s v="PRD-004"/>
    <x v="1"/>
    <x v="1"/>
    <s v="LAZ"/>
    <x v="4"/>
    <n v="3"/>
    <n v="2500000"/>
    <n v="7500000"/>
    <n v="0"/>
    <x v="0"/>
    <s v="ACT-857-LAZ-0912"/>
  </r>
  <r>
    <s v="TRX-2026-0913"/>
    <x v="96"/>
    <x v="2"/>
    <s v="PRD-004"/>
    <x v="1"/>
    <x v="1"/>
    <s v="TIK"/>
    <x v="1"/>
    <n v="15"/>
    <n v="2500000"/>
    <n v="37500000"/>
    <n v="0.05"/>
    <x v="0"/>
    <s v="ACT-114-TIK-0913"/>
  </r>
  <r>
    <s v="TRX-2026-0914"/>
    <x v="192"/>
    <x v="6"/>
    <s v="PRD-002"/>
    <x v="0"/>
    <x v="0"/>
    <s v="LAZ"/>
    <x v="4"/>
    <n v="8"/>
    <n v="3500000"/>
    <n v="28000000"/>
    <n v="0.15"/>
    <x v="0"/>
    <s v="ACT-439-LAZ-0914"/>
  </r>
  <r>
    <s v="TRX-2026-0915"/>
    <x v="44"/>
    <x v="1"/>
    <s v="PRD-004"/>
    <x v="1"/>
    <x v="1"/>
    <s v="SHO"/>
    <x v="2"/>
    <n v="9"/>
    <n v="2500000"/>
    <n v="22500000"/>
    <n v="0.1"/>
    <x v="1"/>
    <s v="ACT-594-SHO-0915"/>
  </r>
  <r>
    <s v="TRX-2026-0916"/>
    <x v="59"/>
    <x v="0"/>
    <s v="PRD-003"/>
    <x v="3"/>
    <x v="3"/>
    <s v="TOK"/>
    <x v="0"/>
    <n v="7"/>
    <n v="12000000"/>
    <n v="84000000"/>
    <n v="0"/>
    <x v="0"/>
    <s v="ACT-274-TOK-0916"/>
  </r>
  <r>
    <s v="TRX-2026-0917"/>
    <x v="148"/>
    <x v="2"/>
    <s v="PRD-005"/>
    <x v="5"/>
    <x v="1"/>
    <s v="SHO"/>
    <x v="2"/>
    <n v="13"/>
    <n v="5500000"/>
    <n v="71500000"/>
    <n v="0.1"/>
    <x v="0"/>
    <s v="ACT-576-SHO-0917"/>
  </r>
  <r>
    <s v="TRX-2026-0918"/>
    <x v="43"/>
    <x v="0"/>
    <s v="PRD-001"/>
    <x v="7"/>
    <x v="0"/>
    <s v="TOK"/>
    <x v="0"/>
    <n v="7"/>
    <n v="1500000"/>
    <n v="10500000"/>
    <n v="0.1"/>
    <x v="2"/>
    <s v="ACT-972-TOK-0918"/>
  </r>
  <r>
    <s v="TRX-2026-0919"/>
    <x v="55"/>
    <x v="0"/>
    <s v="PRD-006"/>
    <x v="4"/>
    <x v="4"/>
    <s v="TOK"/>
    <x v="0"/>
    <n v="1"/>
    <n v="750000"/>
    <n v="750000"/>
    <n v="0.1"/>
    <x v="2"/>
    <s v="ACT-495-TOK-0919"/>
  </r>
  <r>
    <s v="TRX-2026-0920"/>
    <x v="126"/>
    <x v="6"/>
    <s v="PRD-007"/>
    <x v="2"/>
    <x v="2"/>
    <s v="TIK"/>
    <x v="1"/>
    <n v="12"/>
    <n v="2000000"/>
    <n v="24000000"/>
    <n v="0"/>
    <x v="0"/>
    <s v="ACT-596-TIK-0920"/>
  </r>
  <r>
    <s v="TRX-2026-0921"/>
    <x v="17"/>
    <x v="0"/>
    <s v="PRD-002"/>
    <x v="0"/>
    <x v="0"/>
    <s v="SHO"/>
    <x v="2"/>
    <n v="4"/>
    <n v="3500000"/>
    <n v="14000000"/>
    <n v="0.15"/>
    <x v="1"/>
    <s v="ACT-829-SHO-0921"/>
  </r>
  <r>
    <s v="TRX-2026-0922"/>
    <x v="207"/>
    <x v="2"/>
    <s v="PRD-001"/>
    <x v="7"/>
    <x v="0"/>
    <s v="SHO"/>
    <x v="2"/>
    <n v="15"/>
    <n v="1500000"/>
    <n v="22500000"/>
    <n v="0.1"/>
    <x v="0"/>
    <s v="ACT-601-SHO-0922"/>
  </r>
  <r>
    <s v="TRX-2026-0923"/>
    <x v="171"/>
    <x v="7"/>
    <s v="PRD-003"/>
    <x v="3"/>
    <x v="3"/>
    <s v="TOK"/>
    <x v="0"/>
    <n v="6"/>
    <n v="12000000"/>
    <n v="72000000"/>
    <n v="0.1"/>
    <x v="0"/>
    <s v="ACT-740-TOK-0923"/>
  </r>
  <r>
    <s v="TRX-2026-0924"/>
    <x v="62"/>
    <x v="6"/>
    <s v="PRD-004"/>
    <x v="1"/>
    <x v="1"/>
    <s v="TIK"/>
    <x v="1"/>
    <n v="5"/>
    <n v="2500000"/>
    <n v="12500000"/>
    <n v="0"/>
    <x v="2"/>
    <s v="ACT-363-TIK-0924"/>
  </r>
  <r>
    <s v="TRX-2026-0925"/>
    <x v="163"/>
    <x v="7"/>
    <s v="PRD-001"/>
    <x v="7"/>
    <x v="0"/>
    <s v="TIK"/>
    <x v="1"/>
    <n v="5"/>
    <n v="1500000"/>
    <n v="7500000"/>
    <n v="0.05"/>
    <x v="0"/>
    <s v="ACT-449-TIK-0925"/>
  </r>
  <r>
    <s v="TRX-2026-0926"/>
    <x v="171"/>
    <x v="7"/>
    <s v="PRD-003"/>
    <x v="3"/>
    <x v="3"/>
    <s v="TOK"/>
    <x v="0"/>
    <n v="12"/>
    <n v="12000000"/>
    <n v="144000000"/>
    <n v="0.15"/>
    <x v="1"/>
    <s v="ACT-794-TOK-0926"/>
  </r>
  <r>
    <s v="TRX-2026-0927"/>
    <x v="65"/>
    <x v="0"/>
    <s v="PRD-004"/>
    <x v="1"/>
    <x v="1"/>
    <s v="BLI"/>
    <x v="3"/>
    <n v="4"/>
    <n v="2500000"/>
    <n v="10000000"/>
    <n v="0.05"/>
    <x v="3"/>
    <s v="ACT-419-BLI-0927"/>
  </r>
  <r>
    <s v="TRX-2026-0928"/>
    <x v="134"/>
    <x v="0"/>
    <s v="PRD-006"/>
    <x v="4"/>
    <x v="4"/>
    <s v="BLI"/>
    <x v="3"/>
    <n v="9"/>
    <n v="750000"/>
    <n v="6750000"/>
    <n v="0.05"/>
    <x v="0"/>
    <s v="ACT-768-BLI-0928"/>
  </r>
  <r>
    <s v="TRX-2026-0929"/>
    <x v="1"/>
    <x v="1"/>
    <s v="PRD-004"/>
    <x v="1"/>
    <x v="1"/>
    <s v="SHO"/>
    <x v="2"/>
    <n v="5"/>
    <n v="2500000"/>
    <n v="12500000"/>
    <n v="0.05"/>
    <x v="3"/>
    <s v="ACT-888-SHO-0929"/>
  </r>
  <r>
    <s v="TRX-2026-0930"/>
    <x v="144"/>
    <x v="1"/>
    <s v="PRD-003"/>
    <x v="3"/>
    <x v="3"/>
    <s v="LAZ"/>
    <x v="4"/>
    <n v="2"/>
    <n v="12000000"/>
    <n v="24000000"/>
    <n v="0"/>
    <x v="0"/>
    <s v="ACT-425-LAZ-0930"/>
  </r>
  <r>
    <s v="TRX-2026-0931"/>
    <x v="34"/>
    <x v="4"/>
    <s v="PRD-003"/>
    <x v="3"/>
    <x v="3"/>
    <s v="TOK"/>
    <x v="0"/>
    <n v="13"/>
    <n v="12000000"/>
    <n v="156000000"/>
    <n v="0.1"/>
    <x v="3"/>
    <s v="ACT-521-TOK-0931"/>
  </r>
  <r>
    <s v="TRX-2026-0932"/>
    <x v="62"/>
    <x v="6"/>
    <s v="PRD-008"/>
    <x v="6"/>
    <x v="5"/>
    <s v="LAZ"/>
    <x v="4"/>
    <n v="3"/>
    <n v="4000000"/>
    <n v="12000000"/>
    <n v="0.05"/>
    <x v="0"/>
    <s v="ACT-234-LAZ-0932"/>
  </r>
  <r>
    <s v="TRX-2026-0933"/>
    <x v="193"/>
    <x v="1"/>
    <s v="PRD-001"/>
    <x v="7"/>
    <x v="0"/>
    <s v="TIK"/>
    <x v="1"/>
    <n v="10"/>
    <n v="1500000"/>
    <n v="15000000"/>
    <n v="0.1"/>
    <x v="1"/>
    <s v="ACT-680-TIK-0933"/>
  </r>
  <r>
    <s v="TRX-2026-0934"/>
    <x v="65"/>
    <x v="0"/>
    <s v="PRD-004"/>
    <x v="1"/>
    <x v="1"/>
    <s v="TIK"/>
    <x v="1"/>
    <n v="4"/>
    <n v="2500000"/>
    <n v="10000000"/>
    <n v="0.05"/>
    <x v="2"/>
    <s v="ACT-126-TIK-0934"/>
  </r>
  <r>
    <s v="TRX-2026-0935"/>
    <x v="159"/>
    <x v="7"/>
    <s v="PRD-002"/>
    <x v="0"/>
    <x v="0"/>
    <s v="BLI"/>
    <x v="3"/>
    <n v="3"/>
    <n v="3500000"/>
    <n v="10500000"/>
    <n v="0.15"/>
    <x v="2"/>
    <s v="ACT-765-BLI-0935"/>
  </r>
  <r>
    <s v="TRX-2026-0936"/>
    <x v="136"/>
    <x v="7"/>
    <s v="PRD-003"/>
    <x v="3"/>
    <x v="3"/>
    <s v="BLI"/>
    <x v="3"/>
    <n v="8"/>
    <n v="12000000"/>
    <n v="96000000"/>
    <n v="0.15"/>
    <x v="0"/>
    <s v="ACT-267-BLI-0936"/>
  </r>
  <r>
    <s v="TRX-2026-0937"/>
    <x v="61"/>
    <x v="1"/>
    <s v="PRD-004"/>
    <x v="1"/>
    <x v="1"/>
    <s v="TOK"/>
    <x v="0"/>
    <n v="7"/>
    <n v="2500000"/>
    <n v="17500000"/>
    <n v="0"/>
    <x v="0"/>
    <s v="ACT-522-TOK-0937"/>
  </r>
  <r>
    <s v="TRX-2026-0938"/>
    <x v="143"/>
    <x v="1"/>
    <s v="PRD-004"/>
    <x v="1"/>
    <x v="1"/>
    <s v="SHO"/>
    <x v="2"/>
    <n v="2"/>
    <n v="2500000"/>
    <n v="5000000"/>
    <n v="0.05"/>
    <x v="3"/>
    <s v="ACT-987-SHO-0938"/>
  </r>
  <r>
    <s v="TRX-2026-0939"/>
    <x v="168"/>
    <x v="0"/>
    <s v="PRD-008"/>
    <x v="6"/>
    <x v="5"/>
    <s v="LAZ"/>
    <x v="4"/>
    <n v="14"/>
    <n v="4000000"/>
    <n v="56000000"/>
    <n v="0.15"/>
    <x v="0"/>
    <s v="ACT-537-LAZ-0939"/>
  </r>
  <r>
    <s v="TRX-2026-0940"/>
    <x v="111"/>
    <x v="7"/>
    <s v="PRD-001"/>
    <x v="7"/>
    <x v="0"/>
    <s v="TIK"/>
    <x v="1"/>
    <n v="12"/>
    <n v="1500000"/>
    <n v="18000000"/>
    <n v="0.15"/>
    <x v="2"/>
    <s v="ACT-420-TIK-0940"/>
  </r>
  <r>
    <s v="TRX-2026-0941"/>
    <x v="171"/>
    <x v="7"/>
    <s v="PRD-001"/>
    <x v="7"/>
    <x v="0"/>
    <s v="TIK"/>
    <x v="1"/>
    <n v="2"/>
    <n v="1500000"/>
    <n v="3000000"/>
    <n v="0.15"/>
    <x v="3"/>
    <s v="ACT-946-TIK-0941"/>
  </r>
  <r>
    <s v="TRX-2026-0942"/>
    <x v="49"/>
    <x v="2"/>
    <s v="PRD-004"/>
    <x v="1"/>
    <x v="1"/>
    <s v="TIK"/>
    <x v="1"/>
    <n v="9"/>
    <n v="2500000"/>
    <n v="22500000"/>
    <n v="0.15"/>
    <x v="2"/>
    <s v="ACT-140-TIK-0942"/>
  </r>
  <r>
    <s v="TRX-2026-0943"/>
    <x v="13"/>
    <x v="5"/>
    <s v="PRD-007"/>
    <x v="2"/>
    <x v="2"/>
    <s v="TIK"/>
    <x v="1"/>
    <n v="13"/>
    <n v="2000000"/>
    <n v="26000000"/>
    <n v="0"/>
    <x v="0"/>
    <s v="ACT-398-TIK-0943"/>
  </r>
  <r>
    <s v="TRX-2026-0944"/>
    <x v="212"/>
    <x v="7"/>
    <s v="PRD-007"/>
    <x v="2"/>
    <x v="2"/>
    <s v="LAZ"/>
    <x v="4"/>
    <n v="13"/>
    <n v="2000000"/>
    <n v="26000000"/>
    <n v="0.1"/>
    <x v="3"/>
    <s v="ACT-270-LAZ-0944"/>
  </r>
  <r>
    <s v="TRX-2026-0945"/>
    <x v="198"/>
    <x v="7"/>
    <s v="PRD-005"/>
    <x v="5"/>
    <x v="1"/>
    <s v="TIK"/>
    <x v="1"/>
    <n v="15"/>
    <n v="5500000"/>
    <n v="82500000"/>
    <n v="0"/>
    <x v="2"/>
    <s v="ACT-629-TIK-0945"/>
  </r>
  <r>
    <s v="TRX-2026-0946"/>
    <x v="122"/>
    <x v="1"/>
    <s v="PRD-008"/>
    <x v="6"/>
    <x v="5"/>
    <s v="BLI"/>
    <x v="3"/>
    <n v="2"/>
    <n v="4000000"/>
    <n v="8000000"/>
    <n v="0"/>
    <x v="0"/>
    <s v="ACT-897-BLI-0946"/>
  </r>
  <r>
    <s v="TRX-2026-0947"/>
    <x v="108"/>
    <x v="5"/>
    <s v="PRD-003"/>
    <x v="3"/>
    <x v="3"/>
    <s v="BLI"/>
    <x v="3"/>
    <n v="7"/>
    <n v="12000000"/>
    <n v="84000000"/>
    <n v="0.1"/>
    <x v="3"/>
    <s v="ACT-125-BLI-0947"/>
  </r>
  <r>
    <s v="TRX-2026-0948"/>
    <x v="52"/>
    <x v="1"/>
    <s v="PRD-008"/>
    <x v="6"/>
    <x v="5"/>
    <s v="TIK"/>
    <x v="1"/>
    <n v="15"/>
    <n v="4000000"/>
    <n v="60000000"/>
    <n v="0.05"/>
    <x v="3"/>
    <s v="ACT-192-TIK-0948"/>
  </r>
  <r>
    <s v="TRX-2026-0949"/>
    <x v="45"/>
    <x v="6"/>
    <s v="PRD-006"/>
    <x v="4"/>
    <x v="4"/>
    <s v="SHO"/>
    <x v="2"/>
    <n v="12"/>
    <n v="750000"/>
    <n v="9000000"/>
    <n v="0"/>
    <x v="0"/>
    <s v="ACT-216-SHO-0949"/>
  </r>
  <r>
    <s v="TRX-2026-0950"/>
    <x v="180"/>
    <x v="0"/>
    <s v="PRD-008"/>
    <x v="6"/>
    <x v="5"/>
    <s v="LAZ"/>
    <x v="4"/>
    <n v="2"/>
    <n v="4000000"/>
    <n v="8000000"/>
    <n v="0.15"/>
    <x v="2"/>
    <s v="ACT-910-LAZ-0950"/>
  </r>
  <r>
    <s v="TRX-2026-0951"/>
    <x v="201"/>
    <x v="5"/>
    <s v="PRD-003"/>
    <x v="3"/>
    <x v="3"/>
    <s v="BLI"/>
    <x v="3"/>
    <n v="9"/>
    <n v="12000000"/>
    <n v="108000000"/>
    <n v="0.15"/>
    <x v="0"/>
    <s v="ACT-886-BLI-0951"/>
  </r>
  <r>
    <s v="TRX-2026-0952"/>
    <x v="188"/>
    <x v="1"/>
    <s v="PRD-006"/>
    <x v="4"/>
    <x v="4"/>
    <s v="TIK"/>
    <x v="1"/>
    <n v="14"/>
    <n v="750000"/>
    <n v="10500000"/>
    <n v="0.05"/>
    <x v="0"/>
    <s v="ACT-989-TIK-0952"/>
  </r>
  <r>
    <s v="TRX-2026-0953"/>
    <x v="144"/>
    <x v="1"/>
    <s v="PRD-003"/>
    <x v="3"/>
    <x v="3"/>
    <s v="TOK"/>
    <x v="0"/>
    <n v="7"/>
    <n v="12000000"/>
    <n v="84000000"/>
    <n v="0.1"/>
    <x v="0"/>
    <s v="ACT-847-TOK-0953"/>
  </r>
  <r>
    <s v="TRX-2026-0954"/>
    <x v="70"/>
    <x v="3"/>
    <s v="PRD-008"/>
    <x v="6"/>
    <x v="5"/>
    <s v="LAZ"/>
    <x v="4"/>
    <n v="11"/>
    <n v="4000000"/>
    <n v="44000000"/>
    <n v="0.05"/>
    <x v="0"/>
    <s v="ACT-234-LAZ-0954"/>
  </r>
  <r>
    <s v="TRX-2026-0955"/>
    <x v="54"/>
    <x v="1"/>
    <s v="PRD-001"/>
    <x v="7"/>
    <x v="0"/>
    <s v="TIK"/>
    <x v="1"/>
    <n v="13"/>
    <n v="1500000"/>
    <n v="19500000"/>
    <n v="0.1"/>
    <x v="0"/>
    <s v="ACT-569-TIK-0955"/>
  </r>
  <r>
    <s v="TRX-2026-0956"/>
    <x v="203"/>
    <x v="5"/>
    <s v="PRD-008"/>
    <x v="6"/>
    <x v="5"/>
    <s v="TIK"/>
    <x v="1"/>
    <n v="13"/>
    <n v="4000000"/>
    <n v="52000000"/>
    <n v="0"/>
    <x v="1"/>
    <s v="ACT-605-TIK-0956"/>
  </r>
  <r>
    <s v="TRX-2026-0957"/>
    <x v="205"/>
    <x v="6"/>
    <s v="PRD-004"/>
    <x v="1"/>
    <x v="1"/>
    <s v="TIK"/>
    <x v="1"/>
    <n v="11"/>
    <n v="2500000"/>
    <n v="27500000"/>
    <n v="0.15"/>
    <x v="3"/>
    <s v="ACT-519-TIK-0957"/>
  </r>
  <r>
    <s v="TRX-2026-0958"/>
    <x v="47"/>
    <x v="7"/>
    <s v="PRD-002"/>
    <x v="0"/>
    <x v="0"/>
    <s v="TIK"/>
    <x v="1"/>
    <n v="10"/>
    <n v="3500000"/>
    <n v="35000000"/>
    <n v="0"/>
    <x v="0"/>
    <s v="ACT-660-TIK-0958"/>
  </r>
  <r>
    <s v="TRX-2026-0959"/>
    <x v="10"/>
    <x v="6"/>
    <s v="PRD-004"/>
    <x v="1"/>
    <x v="1"/>
    <s v="TOK"/>
    <x v="0"/>
    <n v="3"/>
    <n v="2500000"/>
    <n v="7500000"/>
    <n v="0.05"/>
    <x v="0"/>
    <s v="ACT-768-TOK-0959"/>
  </r>
  <r>
    <s v="TRX-2026-0960"/>
    <x v="179"/>
    <x v="6"/>
    <s v="PRD-001"/>
    <x v="7"/>
    <x v="0"/>
    <s v="SHO"/>
    <x v="2"/>
    <n v="14"/>
    <n v="1500000"/>
    <n v="21000000"/>
    <n v="0"/>
    <x v="2"/>
    <s v="ACT-691-SHO-0960"/>
  </r>
  <r>
    <s v="TRX-2026-0961"/>
    <x v="34"/>
    <x v="4"/>
    <s v="PRD-005"/>
    <x v="5"/>
    <x v="1"/>
    <s v="LAZ"/>
    <x v="4"/>
    <n v="15"/>
    <n v="5500000"/>
    <n v="82500000"/>
    <n v="0"/>
    <x v="0"/>
    <s v="ACT-211-LAZ-0961"/>
  </r>
  <r>
    <s v="TRX-2026-0962"/>
    <x v="173"/>
    <x v="7"/>
    <s v="PRD-003"/>
    <x v="3"/>
    <x v="3"/>
    <s v="SHO"/>
    <x v="2"/>
    <n v="11"/>
    <n v="12000000"/>
    <n v="132000000"/>
    <n v="0.1"/>
    <x v="1"/>
    <s v="ACT-776-SHO-0962"/>
  </r>
  <r>
    <s v="TRX-2026-0963"/>
    <x v="110"/>
    <x v="0"/>
    <s v="PRD-003"/>
    <x v="3"/>
    <x v="3"/>
    <s v="BLI"/>
    <x v="3"/>
    <n v="12"/>
    <n v="12000000"/>
    <n v="144000000"/>
    <n v="0.1"/>
    <x v="0"/>
    <s v="ACT-195-BLI-0963"/>
  </r>
  <r>
    <s v="TRX-2026-0964"/>
    <x v="70"/>
    <x v="3"/>
    <s v="PRD-005"/>
    <x v="5"/>
    <x v="1"/>
    <s v="LAZ"/>
    <x v="4"/>
    <n v="6"/>
    <n v="5500000"/>
    <n v="33000000"/>
    <n v="0.15"/>
    <x v="0"/>
    <s v="ACT-876-LAZ-0964"/>
  </r>
  <r>
    <s v="TRX-2026-0965"/>
    <x v="194"/>
    <x v="7"/>
    <s v="PRD-002"/>
    <x v="0"/>
    <x v="0"/>
    <s v="LAZ"/>
    <x v="4"/>
    <n v="8"/>
    <n v="3500000"/>
    <n v="28000000"/>
    <n v="0.05"/>
    <x v="0"/>
    <s v="ACT-811-LAZ-0965"/>
  </r>
  <r>
    <s v="TRX-2026-0966"/>
    <x v="8"/>
    <x v="4"/>
    <s v="PRD-005"/>
    <x v="5"/>
    <x v="1"/>
    <s v="LAZ"/>
    <x v="4"/>
    <n v="9"/>
    <n v="5500000"/>
    <n v="49500000"/>
    <n v="0.15"/>
    <x v="1"/>
    <s v="ACT-314-LAZ-0966"/>
  </r>
  <r>
    <s v="TRX-2026-0967"/>
    <x v="37"/>
    <x v="0"/>
    <s v="PRD-004"/>
    <x v="1"/>
    <x v="1"/>
    <s v="TIK"/>
    <x v="1"/>
    <n v="1"/>
    <n v="2500000"/>
    <n v="2500000"/>
    <n v="0"/>
    <x v="1"/>
    <s v="ACT-847-TIK-0967"/>
  </r>
  <r>
    <s v="TRX-2026-0968"/>
    <x v="27"/>
    <x v="0"/>
    <s v="PRD-002"/>
    <x v="0"/>
    <x v="0"/>
    <s v="BLI"/>
    <x v="3"/>
    <n v="12"/>
    <n v="3500000"/>
    <n v="42000000"/>
    <n v="0.1"/>
    <x v="3"/>
    <s v="ACT-723-BLI-0968"/>
  </r>
  <r>
    <s v="TRX-2026-0969"/>
    <x v="185"/>
    <x v="4"/>
    <s v="PRD-006"/>
    <x v="4"/>
    <x v="4"/>
    <s v="LAZ"/>
    <x v="4"/>
    <n v="9"/>
    <n v="750000"/>
    <n v="6750000"/>
    <n v="0.1"/>
    <x v="0"/>
    <s v="ACT-729-LAZ-0969"/>
  </r>
  <r>
    <s v="TRX-2026-0970"/>
    <x v="40"/>
    <x v="5"/>
    <s v="PRD-008"/>
    <x v="6"/>
    <x v="5"/>
    <s v="TIK"/>
    <x v="1"/>
    <n v="12"/>
    <n v="4000000"/>
    <n v="48000000"/>
    <n v="0.15"/>
    <x v="3"/>
    <s v="ACT-927-TIK-0970"/>
  </r>
  <r>
    <s v="TRX-2026-0971"/>
    <x v="196"/>
    <x v="1"/>
    <s v="PRD-004"/>
    <x v="1"/>
    <x v="1"/>
    <s v="LAZ"/>
    <x v="4"/>
    <n v="4"/>
    <n v="2500000"/>
    <n v="10000000"/>
    <n v="0"/>
    <x v="0"/>
    <s v="ACT-124-LAZ-0971"/>
  </r>
  <r>
    <s v="TRX-2026-0972"/>
    <x v="80"/>
    <x v="7"/>
    <s v="PRD-002"/>
    <x v="0"/>
    <x v="0"/>
    <s v="SHO"/>
    <x v="2"/>
    <n v="13"/>
    <n v="3500000"/>
    <n v="45500000"/>
    <n v="0.15"/>
    <x v="3"/>
    <s v="ACT-146-SHO-0972"/>
  </r>
  <r>
    <s v="TRX-2026-0973"/>
    <x v="109"/>
    <x v="6"/>
    <s v="PRD-006"/>
    <x v="4"/>
    <x v="4"/>
    <s v="TIK"/>
    <x v="1"/>
    <n v="13"/>
    <n v="750000"/>
    <n v="9750000"/>
    <n v="0.05"/>
    <x v="0"/>
    <s v="ACT-755-TIK-0973"/>
  </r>
  <r>
    <s v="TRX-2026-0974"/>
    <x v="54"/>
    <x v="1"/>
    <s v="PRD-005"/>
    <x v="5"/>
    <x v="1"/>
    <s v="LAZ"/>
    <x v="4"/>
    <n v="13"/>
    <n v="5500000"/>
    <n v="71500000"/>
    <n v="0"/>
    <x v="0"/>
    <s v="ACT-407-LAZ-0974"/>
  </r>
  <r>
    <s v="TRX-2026-0975"/>
    <x v="146"/>
    <x v="5"/>
    <s v="PRD-006"/>
    <x v="4"/>
    <x v="4"/>
    <s v="TOK"/>
    <x v="0"/>
    <n v="2"/>
    <n v="750000"/>
    <n v="1500000"/>
    <n v="0.1"/>
    <x v="0"/>
    <s v="ACT-505-TOK-0975"/>
  </r>
  <r>
    <s v="TRX-2026-0976"/>
    <x v="114"/>
    <x v="3"/>
    <s v="PRD-001"/>
    <x v="7"/>
    <x v="0"/>
    <s v="SHO"/>
    <x v="2"/>
    <n v="4"/>
    <n v="1500000"/>
    <n v="6000000"/>
    <n v="0.1"/>
    <x v="0"/>
    <s v="ACT-788-SHO-0976"/>
  </r>
  <r>
    <s v="TRX-2026-0977"/>
    <x v="74"/>
    <x v="5"/>
    <s v="PRD-008"/>
    <x v="6"/>
    <x v="5"/>
    <s v="TOK"/>
    <x v="0"/>
    <n v="11"/>
    <n v="4000000"/>
    <n v="44000000"/>
    <n v="0.05"/>
    <x v="3"/>
    <s v="ACT-259-TOK-0977"/>
  </r>
  <r>
    <s v="TRX-2026-0978"/>
    <x v="16"/>
    <x v="0"/>
    <s v="PRD-008"/>
    <x v="6"/>
    <x v="5"/>
    <s v="TIK"/>
    <x v="1"/>
    <n v="15"/>
    <n v="4000000"/>
    <n v="60000000"/>
    <n v="0.1"/>
    <x v="3"/>
    <s v="ACT-902-TIK-0978"/>
  </r>
  <r>
    <s v="TRX-2026-0979"/>
    <x v="22"/>
    <x v="3"/>
    <s v="PRD-007"/>
    <x v="2"/>
    <x v="2"/>
    <s v="TOK"/>
    <x v="0"/>
    <n v="14"/>
    <n v="2000000"/>
    <n v="28000000"/>
    <n v="0.1"/>
    <x v="1"/>
    <s v="ACT-842-TOK-0979"/>
  </r>
  <r>
    <s v="TRX-2026-0980"/>
    <x v="191"/>
    <x v="0"/>
    <s v="PRD-006"/>
    <x v="4"/>
    <x v="4"/>
    <s v="TIK"/>
    <x v="1"/>
    <n v="9"/>
    <n v="750000"/>
    <n v="6750000"/>
    <n v="0"/>
    <x v="0"/>
    <s v="ACT-691-TIK-0980"/>
  </r>
  <r>
    <s v="TRX-2026-0981"/>
    <x v="119"/>
    <x v="0"/>
    <s v="PRD-006"/>
    <x v="4"/>
    <x v="4"/>
    <s v="LAZ"/>
    <x v="4"/>
    <n v="2"/>
    <n v="750000"/>
    <n v="1500000"/>
    <n v="0.05"/>
    <x v="0"/>
    <s v="ACT-960-LAZ-0981"/>
  </r>
  <r>
    <s v="TRX-2026-0982"/>
    <x v="76"/>
    <x v="2"/>
    <s v="PRD-006"/>
    <x v="4"/>
    <x v="4"/>
    <s v="BLI"/>
    <x v="3"/>
    <n v="11"/>
    <n v="750000"/>
    <n v="8250000"/>
    <n v="0.05"/>
    <x v="1"/>
    <s v="ACT-720-BLI-0982"/>
  </r>
  <r>
    <s v="TRX-2026-0983"/>
    <x v="163"/>
    <x v="7"/>
    <s v="PRD-003"/>
    <x v="3"/>
    <x v="3"/>
    <s v="TIK"/>
    <x v="1"/>
    <n v="2"/>
    <n v="12000000"/>
    <n v="24000000"/>
    <n v="0.1"/>
    <x v="2"/>
    <s v="ACT-978-TIK-0983"/>
  </r>
  <r>
    <s v="TRX-2026-0984"/>
    <x v="135"/>
    <x v="6"/>
    <s v="PRD-001"/>
    <x v="7"/>
    <x v="0"/>
    <s v="LAZ"/>
    <x v="4"/>
    <n v="7"/>
    <n v="1500000"/>
    <n v="10500000"/>
    <n v="0"/>
    <x v="3"/>
    <s v="ACT-998-LAZ-0984"/>
  </r>
  <r>
    <s v="TRX-2026-0985"/>
    <x v="205"/>
    <x v="6"/>
    <s v="PRD-006"/>
    <x v="4"/>
    <x v="4"/>
    <s v="BLI"/>
    <x v="3"/>
    <n v="14"/>
    <n v="750000"/>
    <n v="10500000"/>
    <n v="0.1"/>
    <x v="0"/>
    <s v="ACT-637-BLI-0985"/>
  </r>
  <r>
    <s v="TRX-2026-0986"/>
    <x v="62"/>
    <x v="6"/>
    <s v="PRD-003"/>
    <x v="3"/>
    <x v="3"/>
    <s v="TOK"/>
    <x v="0"/>
    <n v="6"/>
    <n v="12000000"/>
    <n v="72000000"/>
    <n v="0"/>
    <x v="0"/>
    <s v="ACT-194-TOK-0986"/>
  </r>
  <r>
    <s v="TRX-2026-0987"/>
    <x v="47"/>
    <x v="7"/>
    <s v="PRD-001"/>
    <x v="7"/>
    <x v="0"/>
    <s v="BLI"/>
    <x v="3"/>
    <n v="15"/>
    <n v="1500000"/>
    <n v="22500000"/>
    <n v="0.05"/>
    <x v="0"/>
    <s v="ACT-448-BLI-0987"/>
  </r>
  <r>
    <s v="TRX-2026-0988"/>
    <x v="138"/>
    <x v="5"/>
    <s v="PRD-005"/>
    <x v="5"/>
    <x v="1"/>
    <s v="LAZ"/>
    <x v="4"/>
    <n v="3"/>
    <n v="5500000"/>
    <n v="16500000"/>
    <n v="0"/>
    <x v="1"/>
    <s v="ACT-792-LAZ-0988"/>
  </r>
  <r>
    <s v="TRX-2026-0989"/>
    <x v="29"/>
    <x v="1"/>
    <s v="PRD-004"/>
    <x v="1"/>
    <x v="1"/>
    <s v="TOK"/>
    <x v="0"/>
    <n v="8"/>
    <n v="2500000"/>
    <n v="20000000"/>
    <n v="0.15"/>
    <x v="2"/>
    <s v="ACT-985-TOK-0989"/>
  </r>
  <r>
    <s v="TRX-2026-0990"/>
    <x v="149"/>
    <x v="5"/>
    <s v="PRD-002"/>
    <x v="0"/>
    <x v="0"/>
    <s v="TOK"/>
    <x v="0"/>
    <n v="5"/>
    <n v="3500000"/>
    <n v="17500000"/>
    <n v="0"/>
    <x v="2"/>
    <s v="ACT-968-TOK-0990"/>
  </r>
  <r>
    <s v="TRX-2026-0991"/>
    <x v="17"/>
    <x v="0"/>
    <s v="PRD-002"/>
    <x v="0"/>
    <x v="0"/>
    <s v="LAZ"/>
    <x v="4"/>
    <n v="8"/>
    <n v="3500000"/>
    <n v="28000000"/>
    <n v="0"/>
    <x v="0"/>
    <s v="ACT-633-LAZ-0991"/>
  </r>
  <r>
    <s v="TRX-2026-0992"/>
    <x v="70"/>
    <x v="3"/>
    <s v="PRD-005"/>
    <x v="5"/>
    <x v="1"/>
    <s v="TOK"/>
    <x v="0"/>
    <n v="10"/>
    <n v="5500000"/>
    <n v="55000000"/>
    <n v="0.1"/>
    <x v="2"/>
    <s v="ACT-314-TOK-0992"/>
  </r>
  <r>
    <s v="TRX-2026-0993"/>
    <x v="131"/>
    <x v="6"/>
    <s v="PRD-004"/>
    <x v="1"/>
    <x v="1"/>
    <s v="SHO"/>
    <x v="2"/>
    <n v="5"/>
    <n v="2500000"/>
    <n v="12500000"/>
    <n v="0.1"/>
    <x v="1"/>
    <s v="ACT-426-SHO-0993"/>
  </r>
  <r>
    <s v="TRX-2026-0994"/>
    <x v="83"/>
    <x v="3"/>
    <s v="PRD-008"/>
    <x v="6"/>
    <x v="5"/>
    <s v="TOK"/>
    <x v="0"/>
    <n v="5"/>
    <n v="4000000"/>
    <n v="20000000"/>
    <n v="0.05"/>
    <x v="0"/>
    <s v="ACT-380-TOK-0994"/>
  </r>
  <r>
    <s v="TRX-2026-0995"/>
    <x v="18"/>
    <x v="2"/>
    <s v="PRD-001"/>
    <x v="7"/>
    <x v="0"/>
    <s v="TIK"/>
    <x v="1"/>
    <n v="9"/>
    <n v="1500000"/>
    <n v="13500000"/>
    <n v="0"/>
    <x v="0"/>
    <s v="ACT-655-TIK-0995"/>
  </r>
  <r>
    <s v="TRX-2026-0996"/>
    <x v="179"/>
    <x v="6"/>
    <s v="PRD-006"/>
    <x v="4"/>
    <x v="4"/>
    <s v="LAZ"/>
    <x v="4"/>
    <n v="3"/>
    <n v="750000"/>
    <n v="2250000"/>
    <n v="0.1"/>
    <x v="1"/>
    <s v="ACT-350-LAZ-0996"/>
  </r>
  <r>
    <s v="TRX-2026-0997"/>
    <x v="188"/>
    <x v="1"/>
    <s v="PRD-002"/>
    <x v="0"/>
    <x v="0"/>
    <s v="LAZ"/>
    <x v="4"/>
    <n v="10"/>
    <n v="3500000"/>
    <n v="35000000"/>
    <n v="0.1"/>
    <x v="1"/>
    <s v="ACT-554-LAZ-0997"/>
  </r>
  <r>
    <s v="TRX-2026-0998"/>
    <x v="206"/>
    <x v="2"/>
    <s v="PRD-003"/>
    <x v="3"/>
    <x v="3"/>
    <s v="TOK"/>
    <x v="0"/>
    <n v="8"/>
    <n v="12000000"/>
    <n v="96000000"/>
    <n v="0"/>
    <x v="0"/>
    <s v="ACT-492-TOK-0998"/>
  </r>
  <r>
    <s v="TRX-2026-0999"/>
    <x v="96"/>
    <x v="2"/>
    <s v="PRD-002"/>
    <x v="0"/>
    <x v="0"/>
    <s v="BLI"/>
    <x v="3"/>
    <n v="7"/>
    <n v="3500000"/>
    <n v="24500000"/>
    <n v="0.05"/>
    <x v="2"/>
    <s v="ACT-710-BLI-0999"/>
  </r>
  <r>
    <s v="TRX-2026-1000"/>
    <x v="133"/>
    <x v="0"/>
    <s v="PRD-008"/>
    <x v="6"/>
    <x v="5"/>
    <s v="TIK"/>
    <x v="1"/>
    <n v="6"/>
    <n v="4000000"/>
    <n v="24000000"/>
    <n v="0.1"/>
    <x v="0"/>
    <s v="ACT-937-TIK-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2D6D84-4C40-43D9-A346-86460ABE83BD}" name="PivotTable3" cacheId="4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14:C19" firstHeaderRow="0" firstDataRow="1" firstDataCol="1"/>
  <pivotFields count="14">
    <pivotField showAll="0"/>
    <pivotField showAll="0"/>
    <pivotField showAll="0"/>
    <pivotField dataField="1" showAll="0"/>
    <pivotField showAll="0"/>
    <pivotField showAll="0">
      <items count="7">
        <item x="5"/>
        <item x="0"/>
        <item x="3"/>
        <item x="4"/>
        <item x="1"/>
        <item x="2"/>
        <item t="default"/>
      </items>
    </pivotField>
    <pivotField showAll="0"/>
    <pivotField showAll="0"/>
    <pivotField numFmtId="3" showAll="0"/>
    <pivotField numFmtId="3" showAll="0"/>
    <pivotField dataField="1" numFmtId="3" showAll="0"/>
    <pivotField numFmtId="9" showAll="0"/>
    <pivotField axis="axisRow" showAll="0">
      <items count="5">
        <item x="1"/>
        <item x="0"/>
        <item x="3"/>
        <item x="2"/>
        <item t="default"/>
      </items>
    </pivotField>
    <pivotField showAll="0"/>
  </pivotFields>
  <rowFields count="1">
    <field x="12"/>
  </rowFields>
  <rowItems count="5">
    <i>
      <x/>
    </i>
    <i>
      <x v="1"/>
    </i>
    <i>
      <x v="2"/>
    </i>
    <i>
      <x v="3"/>
    </i>
    <i t="grand">
      <x/>
    </i>
  </rowItems>
  <colFields count="1">
    <field x="-2"/>
  </colFields>
  <colItems count="2">
    <i>
      <x/>
    </i>
    <i i="1">
      <x v="1"/>
    </i>
  </colItems>
  <dataFields count="2">
    <dataField name="Count of ID_Produk" fld="3" subtotal="count" showDataAs="percentOfCol" baseField="0" baseItem="0" numFmtId="9"/>
    <dataField name="Sum of Total_Penjualan" fld="10" baseField="0" baseItem="0" numFmtId="3"/>
  </dataFields>
  <formats count="1">
    <format dxfId="5">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309980-71FD-4D77-99AE-BC2412DD0B20}" name="PivotTable1" cacheId="4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A1:G11" firstHeaderRow="1" firstDataRow="2" firstDataCol="1"/>
  <pivotFields count="14">
    <pivotField showAll="0"/>
    <pivotField showAll="0">
      <items count="219">
        <item x="46"/>
        <item x="67"/>
        <item x="169"/>
        <item x="97"/>
        <item x="91"/>
        <item x="207"/>
        <item x="107"/>
        <item x="76"/>
        <item x="14"/>
        <item x="202"/>
        <item x="49"/>
        <item x="214"/>
        <item x="206"/>
        <item x="96"/>
        <item x="21"/>
        <item x="148"/>
        <item x="72"/>
        <item x="162"/>
        <item x="98"/>
        <item x="33"/>
        <item x="121"/>
        <item x="158"/>
        <item x="141"/>
        <item x="2"/>
        <item x="30"/>
        <item x="127"/>
        <item x="210"/>
        <item x="81"/>
        <item x="175"/>
        <item x="18"/>
        <item x="99"/>
        <item x="116"/>
        <item x="29"/>
        <item x="189"/>
        <item x="1"/>
        <item x="122"/>
        <item x="144"/>
        <item x="48"/>
        <item x="51"/>
        <item x="42"/>
        <item x="165"/>
        <item x="199"/>
        <item x="188"/>
        <item x="204"/>
        <item x="52"/>
        <item x="196"/>
        <item x="193"/>
        <item x="58"/>
        <item x="61"/>
        <item x="82"/>
        <item x="54"/>
        <item x="73"/>
        <item x="44"/>
        <item x="101"/>
        <item x="176"/>
        <item x="143"/>
        <item x="64"/>
        <item x="9"/>
        <item x="126"/>
        <item x="205"/>
        <item x="79"/>
        <item x="12"/>
        <item x="167"/>
        <item x="45"/>
        <item x="156"/>
        <item x="56"/>
        <item x="216"/>
        <item x="105"/>
        <item x="161"/>
        <item x="129"/>
        <item x="10"/>
        <item x="63"/>
        <item x="71"/>
        <item x="113"/>
        <item x="215"/>
        <item x="172"/>
        <item x="62"/>
        <item x="92"/>
        <item x="112"/>
        <item x="135"/>
        <item x="115"/>
        <item x="131"/>
        <item x="120"/>
        <item x="152"/>
        <item x="109"/>
        <item x="192"/>
        <item x="140"/>
        <item x="179"/>
        <item x="157"/>
        <item x="159"/>
        <item x="95"/>
        <item x="213"/>
        <item x="128"/>
        <item x="136"/>
        <item x="181"/>
        <item x="36"/>
        <item x="66"/>
        <item x="163"/>
        <item x="171"/>
        <item x="41"/>
        <item x="200"/>
        <item x="111"/>
        <item x="178"/>
        <item x="137"/>
        <item x="173"/>
        <item x="132"/>
        <item x="198"/>
        <item x="194"/>
        <item x="85"/>
        <item x="57"/>
        <item x="212"/>
        <item x="47"/>
        <item x="154"/>
        <item x="25"/>
        <item x="19"/>
        <item x="15"/>
        <item x="68"/>
        <item x="80"/>
        <item x="102"/>
        <item x="23"/>
        <item x="74"/>
        <item x="138"/>
        <item x="35"/>
        <item x="20"/>
        <item x="88"/>
        <item x="203"/>
        <item x="39"/>
        <item x="146"/>
        <item x="201"/>
        <item x="28"/>
        <item x="89"/>
        <item x="149"/>
        <item x="142"/>
        <item x="139"/>
        <item x="190"/>
        <item x="7"/>
        <item x="177"/>
        <item x="174"/>
        <item x="93"/>
        <item x="164"/>
        <item x="13"/>
        <item x="170"/>
        <item x="40"/>
        <item x="147"/>
        <item x="124"/>
        <item x="38"/>
        <item x="108"/>
        <item x="26"/>
        <item x="133"/>
        <item x="17"/>
        <item x="106"/>
        <item x="134"/>
        <item x="166"/>
        <item x="65"/>
        <item x="168"/>
        <item x="100"/>
        <item x="59"/>
        <item x="16"/>
        <item x="27"/>
        <item x="186"/>
        <item x="0"/>
        <item x="145"/>
        <item x="84"/>
        <item x="184"/>
        <item x="43"/>
        <item x="55"/>
        <item x="130"/>
        <item x="60"/>
        <item x="11"/>
        <item x="125"/>
        <item x="191"/>
        <item x="50"/>
        <item x="119"/>
        <item x="123"/>
        <item x="110"/>
        <item x="37"/>
        <item x="103"/>
        <item x="180"/>
        <item x="151"/>
        <item x="155"/>
        <item x="3"/>
        <item x="153"/>
        <item x="114"/>
        <item x="31"/>
        <item x="86"/>
        <item x="197"/>
        <item x="182"/>
        <item x="94"/>
        <item x="75"/>
        <item x="195"/>
        <item x="24"/>
        <item x="90"/>
        <item x="5"/>
        <item x="70"/>
        <item x="83"/>
        <item x="150"/>
        <item x="187"/>
        <item x="117"/>
        <item x="53"/>
        <item x="104"/>
        <item x="183"/>
        <item x="32"/>
        <item x="69"/>
        <item x="4"/>
        <item x="160"/>
        <item x="22"/>
        <item x="209"/>
        <item x="211"/>
        <item x="87"/>
        <item x="78"/>
        <item x="217"/>
        <item x="34"/>
        <item x="77"/>
        <item x="6"/>
        <item x="185"/>
        <item x="118"/>
        <item x="208"/>
        <item x="8"/>
        <item t="default"/>
      </items>
    </pivotField>
    <pivotField showAll="0">
      <items count="9">
        <item x="2"/>
        <item x="1"/>
        <item x="6"/>
        <item x="7"/>
        <item x="5"/>
        <item x="0"/>
        <item x="3"/>
        <item x="4"/>
        <item t="default"/>
      </items>
    </pivotField>
    <pivotField showAll="0"/>
    <pivotField axis="axisRow" showAll="0">
      <items count="9">
        <item x="2"/>
        <item x="6"/>
        <item x="4"/>
        <item x="3"/>
        <item x="7"/>
        <item x="0"/>
        <item x="1"/>
        <item x="5"/>
        <item t="default"/>
      </items>
    </pivotField>
    <pivotField showAll="0">
      <items count="7">
        <item x="5"/>
        <item x="0"/>
        <item x="3"/>
        <item x="4"/>
        <item x="1"/>
        <item x="2"/>
        <item t="default"/>
      </items>
    </pivotField>
    <pivotField showAll="0"/>
    <pivotField axis="axisCol" showAll="0">
      <items count="6">
        <item x="3"/>
        <item x="4"/>
        <item x="2"/>
        <item x="1"/>
        <item x="0"/>
        <item t="default"/>
      </items>
    </pivotField>
    <pivotField numFmtId="3" showAll="0"/>
    <pivotField numFmtId="3" showAll="0"/>
    <pivotField dataField="1" numFmtId="3" showAll="0"/>
    <pivotField numFmtId="9" showAll="0"/>
    <pivotField showAll="0"/>
    <pivotField showAll="0"/>
  </pivotFields>
  <rowFields count="1">
    <field x="4"/>
  </rowFields>
  <rowItems count="9">
    <i>
      <x/>
    </i>
    <i>
      <x v="1"/>
    </i>
    <i>
      <x v="2"/>
    </i>
    <i>
      <x v="3"/>
    </i>
    <i>
      <x v="4"/>
    </i>
    <i>
      <x v="5"/>
    </i>
    <i>
      <x v="6"/>
    </i>
    <i>
      <x v="7"/>
    </i>
    <i t="grand">
      <x/>
    </i>
  </rowItems>
  <colFields count="1">
    <field x="7"/>
  </colFields>
  <colItems count="6">
    <i>
      <x/>
    </i>
    <i>
      <x v="1"/>
    </i>
    <i>
      <x v="2"/>
    </i>
    <i>
      <x v="3"/>
    </i>
    <i>
      <x v="4"/>
    </i>
    <i t="grand">
      <x/>
    </i>
  </colItems>
  <dataFields count="1">
    <dataField name="Sum of Total_Penjualan" fld="10" baseField="0" baseItem="0" numFmtId="3"/>
  </dataFields>
  <chartFormats count="5">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BFBA24C0-0359-4D75-BB59-CFD45F9E42D6}" sourceName="Kategori">
  <pivotTables>
    <pivotTable tabId="4" name="PivotTable1"/>
    <pivotTable tabId="4" name="PivotTable3"/>
  </pivotTables>
  <data>
    <tabular pivotCacheId="256609414">
      <items count="6">
        <i x="5" s="1"/>
        <i x="0" s="1"/>
        <i x="3"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gori" xr10:uid="{6978A6BF-CD3F-43AD-BFE1-D0046324E9FA}" cache="Slicer_Kategori" caption="Kategori"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nggal" xr10:uid="{9987ABFA-2C1A-4CF0-BB05-DEF5AE5E80B5}" sourceName="Tanggal">
  <pivotTables>
    <pivotTable tabId="4" name="PivotTable1"/>
  </pivotTables>
  <state minimalRefreshVersion="6" lastRefreshVersion="6" pivotCacheId="256609414"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nggal" xr10:uid="{20CB6A10-FA79-4901-A640-FD565F946706}" cache="NativeTimeline_Tanggal" caption="Tanggal" level="2" selectionLevel="2" scrollPosition="2026-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4B4B-23C0-4EC2-BE8D-15E417732B05}">
  <sheetPr codeName="Sheet1"/>
  <dimension ref="A1:U21"/>
  <sheetViews>
    <sheetView showGridLines="0" tabSelected="1" zoomScale="63" zoomScaleNormal="100" workbookViewId="0">
      <selection activeCell="U21" sqref="U21"/>
    </sheetView>
  </sheetViews>
  <sheetFormatPr defaultRowHeight="15" x14ac:dyDescent="0.25"/>
  <cols>
    <col min="1" max="1" width="27.28515625" bestFit="1" customWidth="1"/>
    <col min="2" max="3" width="22.28515625" bestFit="1" customWidth="1"/>
    <col min="4" max="4" width="12.7109375" bestFit="1" customWidth="1"/>
    <col min="5" max="5" width="13.140625" bestFit="1" customWidth="1"/>
    <col min="6" max="6" width="22.28515625" bestFit="1" customWidth="1"/>
    <col min="7" max="7" width="13.85546875" bestFit="1" customWidth="1"/>
  </cols>
  <sheetData>
    <row r="1" spans="1:7" x14ac:dyDescent="0.25">
      <c r="A1" s="6" t="s">
        <v>2065</v>
      </c>
      <c r="B1" s="6" t="s">
        <v>2066</v>
      </c>
    </row>
    <row r="2" spans="1:7" x14ac:dyDescent="0.25">
      <c r="A2" s="6" t="s">
        <v>2063</v>
      </c>
      <c r="B2" t="s">
        <v>43</v>
      </c>
      <c r="C2" t="s">
        <v>66</v>
      </c>
      <c r="D2" t="s">
        <v>30</v>
      </c>
      <c r="E2" t="s">
        <v>23</v>
      </c>
      <c r="F2" t="s">
        <v>18</v>
      </c>
      <c r="G2" t="s">
        <v>2064</v>
      </c>
    </row>
    <row r="3" spans="1:7" x14ac:dyDescent="0.25">
      <c r="A3" s="7" t="s">
        <v>35</v>
      </c>
      <c r="B3" s="2">
        <v>440000000</v>
      </c>
      <c r="C3" s="2">
        <v>316000000</v>
      </c>
      <c r="D3" s="2">
        <v>420000000</v>
      </c>
      <c r="E3" s="2">
        <v>504000000</v>
      </c>
      <c r="F3" s="2">
        <v>308000000</v>
      </c>
      <c r="G3" s="2">
        <v>1988000000</v>
      </c>
    </row>
    <row r="4" spans="1:7" x14ac:dyDescent="0.25">
      <c r="A4" s="7" t="s">
        <v>63</v>
      </c>
      <c r="B4" s="2">
        <v>472000000</v>
      </c>
      <c r="C4" s="2">
        <v>960000000</v>
      </c>
      <c r="D4" s="2">
        <v>888000000</v>
      </c>
      <c r="E4" s="2">
        <v>816000000</v>
      </c>
      <c r="F4" s="2">
        <v>792000000</v>
      </c>
      <c r="G4" s="2">
        <v>3928000000</v>
      </c>
    </row>
    <row r="5" spans="1:7" x14ac:dyDescent="0.25">
      <c r="A5" s="7" t="s">
        <v>47</v>
      </c>
      <c r="B5" s="2">
        <v>172500000</v>
      </c>
      <c r="C5" s="2">
        <v>181500000</v>
      </c>
      <c r="D5" s="2">
        <v>125250000</v>
      </c>
      <c r="E5" s="2">
        <v>164250000</v>
      </c>
      <c r="F5" s="2">
        <v>139500000</v>
      </c>
      <c r="G5" s="2">
        <v>783000000</v>
      </c>
    </row>
    <row r="6" spans="1:7" x14ac:dyDescent="0.25">
      <c r="A6" s="7" t="s">
        <v>40</v>
      </c>
      <c r="B6" s="2">
        <v>2832000000</v>
      </c>
      <c r="C6" s="2">
        <v>1920000000</v>
      </c>
      <c r="D6" s="2">
        <v>1872000000</v>
      </c>
      <c r="E6" s="2">
        <v>2064000000</v>
      </c>
      <c r="F6" s="2">
        <v>2784000000</v>
      </c>
      <c r="G6" s="2">
        <v>11472000000</v>
      </c>
    </row>
    <row r="7" spans="1:7" x14ac:dyDescent="0.25">
      <c r="A7" s="7" t="s">
        <v>93</v>
      </c>
      <c r="B7" s="2">
        <v>249000000</v>
      </c>
      <c r="C7" s="2">
        <v>231000000</v>
      </c>
      <c r="D7" s="2">
        <v>343500000</v>
      </c>
      <c r="E7" s="2">
        <v>318000000</v>
      </c>
      <c r="F7" s="2">
        <v>357000000</v>
      </c>
      <c r="G7" s="2">
        <v>1498500000</v>
      </c>
    </row>
    <row r="8" spans="1:7" x14ac:dyDescent="0.25">
      <c r="A8" s="7" t="s">
        <v>15</v>
      </c>
      <c r="B8" s="2">
        <v>798000000</v>
      </c>
      <c r="C8" s="2">
        <v>742000000</v>
      </c>
      <c r="D8" s="2">
        <v>430500000</v>
      </c>
      <c r="E8" s="2">
        <v>651000000</v>
      </c>
      <c r="F8" s="2">
        <v>857500000</v>
      </c>
      <c r="G8" s="2">
        <v>3479000000</v>
      </c>
    </row>
    <row r="9" spans="1:7" x14ac:dyDescent="0.25">
      <c r="A9" s="7" t="s">
        <v>27</v>
      </c>
      <c r="B9" s="2">
        <v>585000000</v>
      </c>
      <c r="C9" s="2">
        <v>632500000</v>
      </c>
      <c r="D9" s="2">
        <v>482500000</v>
      </c>
      <c r="E9" s="2">
        <v>440000000</v>
      </c>
      <c r="F9" s="2">
        <v>487500000</v>
      </c>
      <c r="G9" s="2">
        <v>2627500000</v>
      </c>
    </row>
    <row r="10" spans="1:7" x14ac:dyDescent="0.25">
      <c r="A10" s="7" t="s">
        <v>59</v>
      </c>
      <c r="B10" s="2">
        <v>863500000</v>
      </c>
      <c r="C10" s="2">
        <v>1490500000</v>
      </c>
      <c r="D10" s="2">
        <v>1166000000</v>
      </c>
      <c r="E10" s="2">
        <v>1375000000</v>
      </c>
      <c r="F10" s="2">
        <v>1050500000</v>
      </c>
      <c r="G10" s="2">
        <v>5945500000</v>
      </c>
    </row>
    <row r="11" spans="1:7" x14ac:dyDescent="0.25">
      <c r="A11" s="7" t="s">
        <v>2064</v>
      </c>
      <c r="B11" s="2">
        <v>6412000000</v>
      </c>
      <c r="C11" s="2">
        <v>6473500000</v>
      </c>
      <c r="D11" s="2">
        <v>5727750000</v>
      </c>
      <c r="E11" s="2">
        <v>6332250000</v>
      </c>
      <c r="F11" s="2">
        <v>6776000000</v>
      </c>
      <c r="G11" s="2">
        <v>31721500000</v>
      </c>
    </row>
    <row r="14" spans="1:7" x14ac:dyDescent="0.25">
      <c r="A14" s="6" t="s">
        <v>2063</v>
      </c>
      <c r="B14" t="s">
        <v>2067</v>
      </c>
      <c r="C14" t="s">
        <v>2065</v>
      </c>
    </row>
    <row r="15" spans="1:7" x14ac:dyDescent="0.25">
      <c r="A15" s="7" t="s">
        <v>31</v>
      </c>
      <c r="B15" s="3">
        <v>0.155</v>
      </c>
      <c r="C15" s="2">
        <v>5243250000</v>
      </c>
      <c r="E15" s="8"/>
    </row>
    <row r="16" spans="1:7" x14ac:dyDescent="0.25">
      <c r="A16" s="7" t="s">
        <v>19</v>
      </c>
      <c r="B16" s="3">
        <v>0.504</v>
      </c>
      <c r="C16" s="2">
        <v>16907000000</v>
      </c>
    </row>
    <row r="17" spans="1:21" x14ac:dyDescent="0.25">
      <c r="A17" s="7" t="s">
        <v>77</v>
      </c>
      <c r="B17" s="3">
        <v>0.16300000000000001</v>
      </c>
      <c r="C17" s="2">
        <v>4656250000</v>
      </c>
    </row>
    <row r="18" spans="1:21" x14ac:dyDescent="0.25">
      <c r="A18" s="7" t="s">
        <v>51</v>
      </c>
      <c r="B18" s="3">
        <v>0.17799999999999999</v>
      </c>
      <c r="C18" s="2">
        <v>4915000000</v>
      </c>
    </row>
    <row r="19" spans="1:21" x14ac:dyDescent="0.25">
      <c r="A19" s="7" t="s">
        <v>2064</v>
      </c>
      <c r="B19" s="3">
        <v>1</v>
      </c>
      <c r="C19" s="2">
        <v>31721500000</v>
      </c>
    </row>
    <row r="21" spans="1:21" x14ac:dyDescent="0.25">
      <c r="U21" t="s">
        <v>2069</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Z1001"/>
  <sheetViews>
    <sheetView zoomScale="85" workbookViewId="0">
      <selection activeCell="B1" sqref="B1:B1048576"/>
    </sheetView>
  </sheetViews>
  <sheetFormatPr defaultRowHeight="15" x14ac:dyDescent="0.25"/>
  <cols>
    <col min="1" max="1" width="16" customWidth="1"/>
    <col min="2" max="2" width="13" style="10" customWidth="1"/>
    <col min="3" max="3" width="13" customWidth="1"/>
    <col min="4" max="4" width="12" customWidth="1"/>
    <col min="5" max="5" width="29" customWidth="1"/>
    <col min="6" max="6" width="22" customWidth="1"/>
    <col min="7" max="7" width="13" customWidth="1"/>
    <col min="8" max="8" width="14" customWidth="1"/>
    <col min="9" max="9" width="17" customWidth="1"/>
    <col min="10" max="10" width="15" customWidth="1"/>
    <col min="11" max="11" width="18" customWidth="1"/>
    <col min="12" max="12" width="12" customWidth="1"/>
    <col min="13" max="13" width="20" customWidth="1"/>
    <col min="14" max="14" width="19" customWidth="1"/>
    <col min="16" max="17" width="27.28515625" customWidth="1"/>
    <col min="18" max="18" width="13.28515625" customWidth="1"/>
    <col min="19" max="21" width="9.140625" customWidth="1"/>
    <col min="22" max="22" width="16.5703125" customWidth="1"/>
    <col min="23" max="23" width="14.28515625" customWidth="1"/>
    <col min="24" max="25" width="9.140625" customWidth="1"/>
    <col min="26" max="26" width="19.7109375" customWidth="1"/>
  </cols>
  <sheetData>
    <row r="1" spans="1:26" x14ac:dyDescent="0.25">
      <c r="A1" s="1" t="s">
        <v>0</v>
      </c>
      <c r="B1" s="9" t="s">
        <v>1</v>
      </c>
      <c r="C1" s="1" t="s">
        <v>2068</v>
      </c>
      <c r="D1" s="1" t="s">
        <v>2</v>
      </c>
      <c r="E1" s="1" t="s">
        <v>3</v>
      </c>
      <c r="F1" s="1" t="s">
        <v>4</v>
      </c>
      <c r="G1" s="1" t="s">
        <v>5</v>
      </c>
      <c r="H1" s="1" t="s">
        <v>6</v>
      </c>
      <c r="I1" s="1" t="s">
        <v>7</v>
      </c>
      <c r="J1" s="1" t="s">
        <v>8</v>
      </c>
      <c r="K1" s="1" t="s">
        <v>9</v>
      </c>
      <c r="L1" s="1" t="s">
        <v>10</v>
      </c>
      <c r="M1" s="1" t="s">
        <v>11</v>
      </c>
      <c r="N1" s="1" t="s">
        <v>12</v>
      </c>
      <c r="P1" s="1" t="s">
        <v>2049</v>
      </c>
      <c r="Q1" s="1" t="s">
        <v>2050</v>
      </c>
      <c r="R1" s="1" t="s">
        <v>2051</v>
      </c>
      <c r="S1" s="1" t="s">
        <v>2052</v>
      </c>
      <c r="T1" s="1" t="s">
        <v>2053</v>
      </c>
      <c r="U1" s="1" t="s">
        <v>2054</v>
      </c>
      <c r="V1" s="1" t="s">
        <v>2055</v>
      </c>
      <c r="W1" s="1" t="s">
        <v>2056</v>
      </c>
      <c r="X1" s="1" t="s">
        <v>2057</v>
      </c>
      <c r="Y1" s="1" t="s">
        <v>2058</v>
      </c>
      <c r="Z1" s="1" t="s">
        <v>2059</v>
      </c>
    </row>
    <row r="2" spans="1:26" x14ac:dyDescent="0.25">
      <c r="A2" t="s">
        <v>13</v>
      </c>
      <c r="B2" s="10">
        <v>46186</v>
      </c>
      <c r="C2" t="str">
        <f>TEXT(B2, "MMMM")</f>
        <v>June</v>
      </c>
      <c r="D2" t="s">
        <v>14</v>
      </c>
      <c r="E2" t="s">
        <v>15</v>
      </c>
      <c r="F2" t="s">
        <v>16</v>
      </c>
      <c r="G2" t="s">
        <v>17</v>
      </c>
      <c r="H2" t="s">
        <v>18</v>
      </c>
      <c r="I2" s="2">
        <v>12</v>
      </c>
      <c r="J2" s="2">
        <v>3500000</v>
      </c>
      <c r="K2" s="2">
        <v>42000000</v>
      </c>
      <c r="L2" s="3">
        <v>0.1</v>
      </c>
      <c r="M2" t="s">
        <v>19</v>
      </c>
      <c r="N2" t="s">
        <v>20</v>
      </c>
      <c r="P2" t="str">
        <f>VLOOKUP(E2,Master_Produk!B:B,1,FALSE)</f>
        <v>SIRCLO Store Pro</v>
      </c>
      <c r="Q2" t="str">
        <f>_xlfn.XLOOKUP(D2, Master_Produk!A:A,Master_Produk!B:B,0)</f>
        <v>SIRCLO Store Pro</v>
      </c>
      <c r="R2" t="str">
        <f>HLOOKUP(G2,Master_Kanal!$B$1:$F$2, 1,FALSE)</f>
        <v>TOK</v>
      </c>
      <c r="S2">
        <f>COUNTA(I2:I1001)</f>
        <v>1000</v>
      </c>
      <c r="T2">
        <f>COUNT(I2:I1001)</f>
        <v>1000</v>
      </c>
      <c r="U2">
        <f>COUNTIF(H2:H1001, "Blibli")</f>
        <v>193</v>
      </c>
      <c r="V2" s="4">
        <f>SUMIF(F2:F1001, "Fulfillment", K2:K1001)</f>
        <v>783000000</v>
      </c>
      <c r="W2" s="5">
        <f>AVERAGEIF(M2:M1001, "Cancelled",K2:K1001)</f>
        <v>33827419.354838707</v>
      </c>
      <c r="X2" t="str">
        <f>LEFT(N2,3)</f>
        <v>ACT</v>
      </c>
      <c r="Y2" t="str">
        <f>RIGHT(N2,4)</f>
        <v>0001</v>
      </c>
      <c r="Z2" t="str">
        <f>IF(K2&gt;=50000000,"Tier 1 (Bonus 10%)",IF(K2&gt;=20000000,"Tier 2 (Bonus 5%)",IF(K2&gt;=10000000,"Tier 3 (Bonus 2.5%)","No Bonus")))</f>
        <v>Tier 2 (Bonus 5%)</v>
      </c>
    </row>
    <row r="3" spans="1:26" x14ac:dyDescent="0.25">
      <c r="A3" t="s">
        <v>21</v>
      </c>
      <c r="B3" s="10">
        <v>46058</v>
      </c>
      <c r="C3" t="str">
        <f t="shared" ref="C3:C66" si="0">TEXT(B3, "MMMM")</f>
        <v>February</v>
      </c>
      <c r="D3" t="s">
        <v>14</v>
      </c>
      <c r="E3" t="s">
        <v>15</v>
      </c>
      <c r="F3" t="s">
        <v>16</v>
      </c>
      <c r="G3" t="s">
        <v>22</v>
      </c>
      <c r="H3" t="s">
        <v>23</v>
      </c>
      <c r="I3" s="2">
        <v>2</v>
      </c>
      <c r="J3" s="2">
        <v>3500000</v>
      </c>
      <c r="K3" s="2">
        <v>7000000</v>
      </c>
      <c r="L3" s="3">
        <v>0.15</v>
      </c>
      <c r="M3" t="s">
        <v>19</v>
      </c>
      <c r="N3" t="s">
        <v>24</v>
      </c>
      <c r="P3" t="str">
        <f>VLOOKUP(E3,Master_Produk!B:B,1,FALSE)</f>
        <v>SIRCLO Store Pro</v>
      </c>
      <c r="Q3" t="str">
        <f>_xlfn.XLOOKUP(D3, Master_Produk!A:A,Master_Produk!B:B,0)</f>
        <v>SIRCLO Store Pro</v>
      </c>
      <c r="R3" t="str">
        <f>HLOOKUP(G3,Master_Kanal!$B$1:$F$2, 1,FALSE)</f>
        <v>TIK</v>
      </c>
      <c r="Z3" t="str">
        <f t="shared" ref="Z3:Z8" si="1">IF(K3&gt;=50000000,"Tier 1 (Bonus 10%)",IF(K3&gt;=20000000,"Tier 2 (Bonus 5%)",IF(K3&gt;=10000000,"Tier 3 (Bonus 2.5%)","No Bonus")))</f>
        <v>No Bonus</v>
      </c>
    </row>
    <row r="4" spans="1:26" x14ac:dyDescent="0.25">
      <c r="A4" t="s">
        <v>25</v>
      </c>
      <c r="B4" s="10">
        <v>46046</v>
      </c>
      <c r="C4" t="str">
        <f t="shared" si="0"/>
        <v>January</v>
      </c>
      <c r="D4" t="s">
        <v>26</v>
      </c>
      <c r="E4" t="s">
        <v>27</v>
      </c>
      <c r="F4" t="s">
        <v>28</v>
      </c>
      <c r="G4" t="s">
        <v>29</v>
      </c>
      <c r="H4" t="s">
        <v>30</v>
      </c>
      <c r="I4" s="2">
        <v>9</v>
      </c>
      <c r="J4" s="2">
        <v>2500000</v>
      </c>
      <c r="K4" s="2">
        <v>22500000</v>
      </c>
      <c r="L4" s="3">
        <v>0</v>
      </c>
      <c r="M4" t="s">
        <v>31</v>
      </c>
      <c r="N4" t="s">
        <v>32</v>
      </c>
      <c r="P4" t="str">
        <f>VLOOKUP(E4,Master_Produk!B:B,1,FALSE)</f>
        <v>Swift Omnichannel Basic</v>
      </c>
      <c r="Q4" t="str">
        <f>_xlfn.XLOOKUP(D4, Master_Produk!A:A,Master_Produk!B:B,0)</f>
        <v>Swift Omnichannel Basic</v>
      </c>
      <c r="R4" t="str">
        <f>HLOOKUP(G4,Master_Kanal!$B$1:$F$2, 1,FALSE)</f>
        <v>SHO</v>
      </c>
      <c r="Z4" t="str">
        <f t="shared" si="1"/>
        <v>Tier 2 (Bonus 5%)</v>
      </c>
    </row>
    <row r="5" spans="1:26" x14ac:dyDescent="0.25">
      <c r="A5" t="s">
        <v>33</v>
      </c>
      <c r="B5" s="10">
        <v>46206</v>
      </c>
      <c r="C5" t="str">
        <f t="shared" si="0"/>
        <v>July</v>
      </c>
      <c r="D5" t="s">
        <v>34</v>
      </c>
      <c r="E5" t="s">
        <v>35</v>
      </c>
      <c r="F5" t="s">
        <v>36</v>
      </c>
      <c r="G5" t="s">
        <v>29</v>
      </c>
      <c r="H5" t="s">
        <v>30</v>
      </c>
      <c r="I5" s="2">
        <v>8</v>
      </c>
      <c r="J5" s="2">
        <v>2000000</v>
      </c>
      <c r="K5" s="2">
        <v>16000000</v>
      </c>
      <c r="L5" s="3">
        <v>0.1</v>
      </c>
      <c r="M5" t="s">
        <v>19</v>
      </c>
      <c r="N5" t="s">
        <v>37</v>
      </c>
      <c r="P5" t="str">
        <f>VLOOKUP(E5,Master_Produk!B:B,1,FALSE)</f>
        <v>Chat Commerce Integration</v>
      </c>
      <c r="Q5" t="str">
        <f>_xlfn.XLOOKUP(D5, Master_Produk!A:A,Master_Produk!B:B,0)</f>
        <v>Chat Commerce Integration</v>
      </c>
      <c r="R5" t="str">
        <f>HLOOKUP(G5,Master_Kanal!$B$1:$F$2, 1,FALSE)</f>
        <v>SHO</v>
      </c>
      <c r="Z5" t="str">
        <f t="shared" si="1"/>
        <v>Tier 3 (Bonus 2.5%)</v>
      </c>
    </row>
    <row r="6" spans="1:26" x14ac:dyDescent="0.25">
      <c r="A6" t="s">
        <v>38</v>
      </c>
      <c r="B6" s="10">
        <v>46229</v>
      </c>
      <c r="C6" t="str">
        <f t="shared" si="0"/>
        <v>July</v>
      </c>
      <c r="D6" t="s">
        <v>39</v>
      </c>
      <c r="E6" t="s">
        <v>40</v>
      </c>
      <c r="F6" t="s">
        <v>41</v>
      </c>
      <c r="G6" t="s">
        <v>42</v>
      </c>
      <c r="H6" t="s">
        <v>43</v>
      </c>
      <c r="I6" s="2">
        <v>6</v>
      </c>
      <c r="J6" s="2">
        <v>12000000</v>
      </c>
      <c r="K6" s="2">
        <v>72000000</v>
      </c>
      <c r="L6" s="3">
        <v>0.1</v>
      </c>
      <c r="M6" t="s">
        <v>19</v>
      </c>
      <c r="N6" t="s">
        <v>44</v>
      </c>
      <c r="P6" t="str">
        <f>VLOOKUP(E6,Master_Produk!B:B,1,FALSE)</f>
        <v>SIRCLO Commerce Enterprise</v>
      </c>
      <c r="Q6" t="str">
        <f>_xlfn.XLOOKUP(D6, Master_Produk!A:A,Master_Produk!B:B,0)</f>
        <v>SIRCLO Commerce Enterprise</v>
      </c>
      <c r="R6" t="str">
        <f>HLOOKUP(G6,Master_Kanal!$B$1:$F$2, 1,FALSE)</f>
        <v>BLI</v>
      </c>
      <c r="Z6" t="str">
        <f t="shared" si="1"/>
        <v>Tier 1 (Bonus 10%)</v>
      </c>
    </row>
    <row r="7" spans="1:26" x14ac:dyDescent="0.25">
      <c r="A7" t="s">
        <v>45</v>
      </c>
      <c r="B7" s="10">
        <v>46218</v>
      </c>
      <c r="C7" t="str">
        <f t="shared" si="0"/>
        <v>July</v>
      </c>
      <c r="D7" t="s">
        <v>46</v>
      </c>
      <c r="E7" t="s">
        <v>47</v>
      </c>
      <c r="F7" t="s">
        <v>48</v>
      </c>
      <c r="G7" t="s">
        <v>17</v>
      </c>
      <c r="H7" t="s">
        <v>18</v>
      </c>
      <c r="I7" s="2">
        <v>2</v>
      </c>
      <c r="J7" s="2">
        <v>750000</v>
      </c>
      <c r="K7" s="2">
        <v>1500000</v>
      </c>
      <c r="L7" s="3">
        <v>0.15</v>
      </c>
      <c r="M7" t="s">
        <v>19</v>
      </c>
      <c r="N7" t="s">
        <v>49</v>
      </c>
      <c r="P7" t="str">
        <f>VLOOKUP(E7,Master_Produk!B:B,1,FALSE)</f>
        <v>ICOMERCE Fulfillment Fee</v>
      </c>
      <c r="Q7" t="str">
        <f>_xlfn.XLOOKUP(D7, Master_Produk!A:A,Master_Produk!B:B,0)</f>
        <v>ICOMERCE Fulfillment Fee</v>
      </c>
      <c r="R7" t="str">
        <f>HLOOKUP(G7,Master_Kanal!$B$1:$F$2, 1,FALSE)</f>
        <v>TOK</v>
      </c>
      <c r="Z7" t="str">
        <f t="shared" si="1"/>
        <v>No Bonus</v>
      </c>
    </row>
    <row r="8" spans="1:26" x14ac:dyDescent="0.25">
      <c r="A8" t="s">
        <v>50</v>
      </c>
      <c r="B8" s="10">
        <v>46239</v>
      </c>
      <c r="C8" t="str">
        <f t="shared" si="0"/>
        <v>August</v>
      </c>
      <c r="D8" t="s">
        <v>46</v>
      </c>
      <c r="E8" t="s">
        <v>47</v>
      </c>
      <c r="F8" t="s">
        <v>48</v>
      </c>
      <c r="G8" t="s">
        <v>22</v>
      </c>
      <c r="H8" t="s">
        <v>23</v>
      </c>
      <c r="I8" s="2">
        <v>5</v>
      </c>
      <c r="J8" s="2">
        <v>750000</v>
      </c>
      <c r="K8" s="2">
        <v>3750000</v>
      </c>
      <c r="L8" s="3">
        <v>0</v>
      </c>
      <c r="M8" t="s">
        <v>51</v>
      </c>
      <c r="N8" t="s">
        <v>52</v>
      </c>
      <c r="P8" t="str">
        <f>VLOOKUP(E8,Master_Produk!B:B,1,FALSE)</f>
        <v>ICOMERCE Fulfillment Fee</v>
      </c>
      <c r="Q8" t="str">
        <f>_xlfn.XLOOKUP(D8, Master_Produk!A:A,Master_Produk!B:B,0)</f>
        <v>ICOMERCE Fulfillment Fee</v>
      </c>
      <c r="R8" t="str">
        <f>HLOOKUP(G8,Master_Kanal!$B$1:$F$2, 1,FALSE)</f>
        <v>TIK</v>
      </c>
      <c r="Z8" t="str">
        <f t="shared" si="1"/>
        <v>No Bonus</v>
      </c>
    </row>
    <row r="9" spans="1:26" x14ac:dyDescent="0.25">
      <c r="A9" t="s">
        <v>53</v>
      </c>
      <c r="B9" s="10">
        <v>46160</v>
      </c>
      <c r="C9" t="str">
        <f t="shared" si="0"/>
        <v>May</v>
      </c>
      <c r="D9" t="s">
        <v>14</v>
      </c>
      <c r="E9" t="s">
        <v>15</v>
      </c>
      <c r="F9" t="s">
        <v>16</v>
      </c>
      <c r="G9" t="s">
        <v>42</v>
      </c>
      <c r="H9" t="s">
        <v>43</v>
      </c>
      <c r="I9" s="2">
        <v>2</v>
      </c>
      <c r="J9" s="2">
        <v>3500000</v>
      </c>
      <c r="K9" s="2">
        <v>7000000</v>
      </c>
      <c r="L9" s="3">
        <v>0.1</v>
      </c>
      <c r="M9" t="s">
        <v>51</v>
      </c>
      <c r="N9" t="s">
        <v>54</v>
      </c>
    </row>
    <row r="10" spans="1:26" x14ac:dyDescent="0.25">
      <c r="A10" t="s">
        <v>55</v>
      </c>
      <c r="B10" s="10">
        <v>46243</v>
      </c>
      <c r="C10" t="str">
        <f t="shared" si="0"/>
        <v>August</v>
      </c>
      <c r="D10" t="s">
        <v>46</v>
      </c>
      <c r="E10" t="s">
        <v>47</v>
      </c>
      <c r="F10" t="s">
        <v>48</v>
      </c>
      <c r="G10" t="s">
        <v>22</v>
      </c>
      <c r="H10" t="s">
        <v>23</v>
      </c>
      <c r="I10" s="2">
        <v>4</v>
      </c>
      <c r="J10" s="2">
        <v>750000</v>
      </c>
      <c r="K10" s="2">
        <v>3000000</v>
      </c>
      <c r="L10" s="3">
        <v>0</v>
      </c>
      <c r="M10" t="s">
        <v>19</v>
      </c>
      <c r="N10" t="s">
        <v>56</v>
      </c>
    </row>
    <row r="11" spans="1:26" x14ac:dyDescent="0.25">
      <c r="A11" t="s">
        <v>57</v>
      </c>
      <c r="B11" s="10">
        <v>46081</v>
      </c>
      <c r="C11" t="str">
        <f t="shared" si="0"/>
        <v>February</v>
      </c>
      <c r="D11" t="s">
        <v>58</v>
      </c>
      <c r="E11" t="s">
        <v>59</v>
      </c>
      <c r="F11" t="s">
        <v>28</v>
      </c>
      <c r="G11" t="s">
        <v>17</v>
      </c>
      <c r="H11" t="s">
        <v>18</v>
      </c>
      <c r="I11" s="2">
        <v>14</v>
      </c>
      <c r="J11" s="2">
        <v>5500000</v>
      </c>
      <c r="K11" s="2">
        <v>77000000</v>
      </c>
      <c r="L11" s="3">
        <v>0.05</v>
      </c>
      <c r="M11" t="s">
        <v>19</v>
      </c>
      <c r="N11" t="s">
        <v>60</v>
      </c>
    </row>
    <row r="12" spans="1:26" x14ac:dyDescent="0.25">
      <c r="A12" t="s">
        <v>61</v>
      </c>
      <c r="B12" s="10">
        <v>46094</v>
      </c>
      <c r="C12" t="str">
        <f t="shared" si="0"/>
        <v>March</v>
      </c>
      <c r="D12" t="s">
        <v>62</v>
      </c>
      <c r="E12" t="s">
        <v>63</v>
      </c>
      <c r="F12" t="s">
        <v>64</v>
      </c>
      <c r="G12" t="s">
        <v>65</v>
      </c>
      <c r="H12" t="s">
        <v>66</v>
      </c>
      <c r="I12" s="2">
        <v>3</v>
      </c>
      <c r="J12" s="2">
        <v>4000000</v>
      </c>
      <c r="K12" s="2">
        <v>12000000</v>
      </c>
      <c r="L12" s="3">
        <v>0.1</v>
      </c>
      <c r="M12" t="s">
        <v>19</v>
      </c>
      <c r="N12" t="s">
        <v>67</v>
      </c>
      <c r="P12" s="5">
        <f>VLOOKUP(J2, Master_Produk!D:D, 1, FALSE)</f>
        <v>3500000</v>
      </c>
    </row>
    <row r="13" spans="1:26" x14ac:dyDescent="0.25">
      <c r="A13" t="s">
        <v>68</v>
      </c>
      <c r="B13" s="10">
        <v>46194</v>
      </c>
      <c r="C13" t="str">
        <f t="shared" si="0"/>
        <v>June</v>
      </c>
      <c r="D13" t="s">
        <v>58</v>
      </c>
      <c r="E13" t="s">
        <v>59</v>
      </c>
      <c r="F13" t="s">
        <v>28</v>
      </c>
      <c r="G13" t="s">
        <v>17</v>
      </c>
      <c r="H13" t="s">
        <v>18</v>
      </c>
      <c r="I13" s="2">
        <v>10</v>
      </c>
      <c r="J13" s="2">
        <v>5500000</v>
      </c>
      <c r="K13" s="2">
        <v>55000000</v>
      </c>
      <c r="L13" s="3">
        <v>0.05</v>
      </c>
      <c r="M13" t="s">
        <v>31</v>
      </c>
      <c r="N13" t="s">
        <v>69</v>
      </c>
      <c r="P13" s="5"/>
    </row>
    <row r="14" spans="1:26" x14ac:dyDescent="0.25">
      <c r="A14" t="s">
        <v>70</v>
      </c>
      <c r="B14" s="10">
        <v>46085</v>
      </c>
      <c r="C14" t="str">
        <f t="shared" si="0"/>
        <v>March</v>
      </c>
      <c r="D14" t="s">
        <v>39</v>
      </c>
      <c r="E14" t="s">
        <v>40</v>
      </c>
      <c r="F14" t="s">
        <v>41</v>
      </c>
      <c r="G14" t="s">
        <v>42</v>
      </c>
      <c r="H14" t="s">
        <v>43</v>
      </c>
      <c r="I14" s="2">
        <v>7</v>
      </c>
      <c r="J14" s="2">
        <v>12000000</v>
      </c>
      <c r="K14" s="2">
        <v>84000000</v>
      </c>
      <c r="L14" s="3">
        <v>0.1</v>
      </c>
      <c r="M14" t="s">
        <v>51</v>
      </c>
      <c r="N14" t="s">
        <v>71</v>
      </c>
      <c r="P14" s="5">
        <f>J2*L2</f>
        <v>350000</v>
      </c>
      <c r="Q14" t="s">
        <v>2061</v>
      </c>
    </row>
    <row r="15" spans="1:26" x14ac:dyDescent="0.25">
      <c r="A15" t="s">
        <v>72</v>
      </c>
      <c r="B15" s="10">
        <v>46165</v>
      </c>
      <c r="C15" t="str">
        <f t="shared" si="0"/>
        <v>May</v>
      </c>
      <c r="D15" t="s">
        <v>26</v>
      </c>
      <c r="E15" t="s">
        <v>27</v>
      </c>
      <c r="F15" t="s">
        <v>28</v>
      </c>
      <c r="G15" t="s">
        <v>65</v>
      </c>
      <c r="H15" t="s">
        <v>66</v>
      </c>
      <c r="I15" s="2">
        <v>14</v>
      </c>
      <c r="J15" s="2">
        <v>2500000</v>
      </c>
      <c r="K15" s="2">
        <v>35000000</v>
      </c>
      <c r="L15" s="3">
        <v>0</v>
      </c>
      <c r="M15" t="s">
        <v>19</v>
      </c>
      <c r="N15" t="s">
        <v>73</v>
      </c>
      <c r="P15" s="5">
        <f>J2*(1-L2)</f>
        <v>3150000</v>
      </c>
      <c r="Q15" t="s">
        <v>2060</v>
      </c>
    </row>
    <row r="16" spans="1:26" x14ac:dyDescent="0.25">
      <c r="A16" t="s">
        <v>74</v>
      </c>
      <c r="B16" s="10">
        <v>46031</v>
      </c>
      <c r="C16" t="str">
        <f t="shared" si="0"/>
        <v>January</v>
      </c>
      <c r="D16" t="s">
        <v>46</v>
      </c>
      <c r="E16" t="s">
        <v>47</v>
      </c>
      <c r="F16" t="s">
        <v>48</v>
      </c>
      <c r="G16" t="s">
        <v>42</v>
      </c>
      <c r="H16" t="s">
        <v>43</v>
      </c>
      <c r="I16" s="2">
        <v>5</v>
      </c>
      <c r="J16" s="2">
        <v>750000</v>
      </c>
      <c r="K16" s="2">
        <v>3750000</v>
      </c>
      <c r="L16" s="3">
        <v>0</v>
      </c>
      <c r="M16" t="s">
        <v>19</v>
      </c>
      <c r="N16" t="s">
        <v>75</v>
      </c>
      <c r="P16" s="5">
        <f>IF(J2&gt;100000,J2*(1-L2),J2)</f>
        <v>3150000</v>
      </c>
      <c r="Q16" t="s">
        <v>2062</v>
      </c>
    </row>
    <row r="17" spans="1:16" x14ac:dyDescent="0.25">
      <c r="A17" t="s">
        <v>76</v>
      </c>
      <c r="B17" s="10">
        <v>46206</v>
      </c>
      <c r="C17" t="str">
        <f t="shared" si="0"/>
        <v>July</v>
      </c>
      <c r="D17" t="s">
        <v>46</v>
      </c>
      <c r="E17" t="s">
        <v>47</v>
      </c>
      <c r="F17" t="s">
        <v>48</v>
      </c>
      <c r="G17" t="s">
        <v>29</v>
      </c>
      <c r="H17" t="s">
        <v>30</v>
      </c>
      <c r="I17" s="2">
        <v>11</v>
      </c>
      <c r="J17" s="2">
        <v>750000</v>
      </c>
      <c r="K17" s="2">
        <v>8250000</v>
      </c>
      <c r="L17" s="3">
        <v>0.15</v>
      </c>
      <c r="M17" t="s">
        <v>77</v>
      </c>
      <c r="N17" t="s">
        <v>78</v>
      </c>
      <c r="P17" s="5">
        <f>IF(J2&gt;100000, J2*10%, 0)</f>
        <v>350000</v>
      </c>
    </row>
    <row r="18" spans="1:16" x14ac:dyDescent="0.25">
      <c r="A18" t="s">
        <v>79</v>
      </c>
      <c r="B18" s="10">
        <v>46140</v>
      </c>
      <c r="C18" t="str">
        <f t="shared" si="0"/>
        <v>April</v>
      </c>
      <c r="D18" t="s">
        <v>39</v>
      </c>
      <c r="E18" t="s">
        <v>40</v>
      </c>
      <c r="F18" t="s">
        <v>41</v>
      </c>
      <c r="G18" t="s">
        <v>65</v>
      </c>
      <c r="H18" t="s">
        <v>66</v>
      </c>
      <c r="I18" s="2">
        <v>3</v>
      </c>
      <c r="J18" s="2">
        <v>12000000</v>
      </c>
      <c r="K18" s="2">
        <v>36000000</v>
      </c>
      <c r="L18" s="3">
        <v>0.05</v>
      </c>
      <c r="M18" t="s">
        <v>51</v>
      </c>
      <c r="N18" t="s">
        <v>80</v>
      </c>
    </row>
    <row r="19" spans="1:16" x14ac:dyDescent="0.25">
      <c r="A19" t="s">
        <v>81</v>
      </c>
      <c r="B19" s="10">
        <v>46160</v>
      </c>
      <c r="C19" t="str">
        <f t="shared" si="0"/>
        <v>May</v>
      </c>
      <c r="D19" t="s">
        <v>58</v>
      </c>
      <c r="E19" t="s">
        <v>59</v>
      </c>
      <c r="F19" t="s">
        <v>28</v>
      </c>
      <c r="G19" t="s">
        <v>22</v>
      </c>
      <c r="H19" t="s">
        <v>23</v>
      </c>
      <c r="I19" s="2">
        <v>7</v>
      </c>
      <c r="J19" s="2">
        <v>5500000</v>
      </c>
      <c r="K19" s="2">
        <v>38500000</v>
      </c>
      <c r="L19" s="3">
        <v>0.15</v>
      </c>
      <c r="M19" t="s">
        <v>19</v>
      </c>
      <c r="N19" t="s">
        <v>82</v>
      </c>
    </row>
    <row r="20" spans="1:16" x14ac:dyDescent="0.25">
      <c r="A20" t="s">
        <v>83</v>
      </c>
      <c r="B20" s="10">
        <v>46058</v>
      </c>
      <c r="C20" t="str">
        <f t="shared" si="0"/>
        <v>February</v>
      </c>
      <c r="D20" t="s">
        <v>62</v>
      </c>
      <c r="E20" t="s">
        <v>63</v>
      </c>
      <c r="F20" t="s">
        <v>64</v>
      </c>
      <c r="G20" t="s">
        <v>17</v>
      </c>
      <c r="H20" t="s">
        <v>18</v>
      </c>
      <c r="I20" s="2">
        <v>13</v>
      </c>
      <c r="J20" s="2">
        <v>4000000</v>
      </c>
      <c r="K20" s="2">
        <v>52000000</v>
      </c>
      <c r="L20" s="3">
        <v>0</v>
      </c>
      <c r="M20" t="s">
        <v>19</v>
      </c>
      <c r="N20" t="s">
        <v>84</v>
      </c>
    </row>
    <row r="21" spans="1:16" x14ac:dyDescent="0.25">
      <c r="A21" t="s">
        <v>85</v>
      </c>
      <c r="B21" s="10">
        <v>46183</v>
      </c>
      <c r="C21" t="str">
        <f t="shared" si="0"/>
        <v>June</v>
      </c>
      <c r="D21" t="s">
        <v>39</v>
      </c>
      <c r="E21" t="s">
        <v>40</v>
      </c>
      <c r="F21" t="s">
        <v>41</v>
      </c>
      <c r="G21" t="s">
        <v>42</v>
      </c>
      <c r="H21" t="s">
        <v>43</v>
      </c>
      <c r="I21" s="2">
        <v>10</v>
      </c>
      <c r="J21" s="2">
        <v>12000000</v>
      </c>
      <c r="K21" s="2">
        <v>120000000</v>
      </c>
      <c r="L21" s="3">
        <v>0</v>
      </c>
      <c r="M21" t="s">
        <v>77</v>
      </c>
      <c r="N21" t="s">
        <v>86</v>
      </c>
    </row>
    <row r="22" spans="1:16" x14ac:dyDescent="0.25">
      <c r="A22" t="s">
        <v>87</v>
      </c>
      <c r="B22" s="10">
        <v>46175</v>
      </c>
      <c r="C22" t="str">
        <f t="shared" si="0"/>
        <v>June</v>
      </c>
      <c r="D22" t="s">
        <v>62</v>
      </c>
      <c r="E22" t="s">
        <v>63</v>
      </c>
      <c r="F22" t="s">
        <v>64</v>
      </c>
      <c r="G22" t="s">
        <v>22</v>
      </c>
      <c r="H22" t="s">
        <v>23</v>
      </c>
      <c r="I22" s="2">
        <v>5</v>
      </c>
      <c r="J22" s="2">
        <v>4000000</v>
      </c>
      <c r="K22" s="2">
        <v>20000000</v>
      </c>
      <c r="L22" s="3">
        <v>0</v>
      </c>
      <c r="M22" t="s">
        <v>51</v>
      </c>
      <c r="N22" t="s">
        <v>88</v>
      </c>
    </row>
    <row r="23" spans="1:16" x14ac:dyDescent="0.25">
      <c r="A23" t="s">
        <v>89</v>
      </c>
      <c r="B23" s="10">
        <v>46052</v>
      </c>
      <c r="C23" t="str">
        <f t="shared" si="0"/>
        <v>January</v>
      </c>
      <c r="D23" t="s">
        <v>58</v>
      </c>
      <c r="E23" t="s">
        <v>59</v>
      </c>
      <c r="F23" t="s">
        <v>28</v>
      </c>
      <c r="G23" t="s">
        <v>65</v>
      </c>
      <c r="H23" t="s">
        <v>66</v>
      </c>
      <c r="I23" s="2">
        <v>2</v>
      </c>
      <c r="J23" s="2">
        <v>5500000</v>
      </c>
      <c r="K23" s="2">
        <v>11000000</v>
      </c>
      <c r="L23" s="3">
        <v>0.1</v>
      </c>
      <c r="M23" t="s">
        <v>77</v>
      </c>
      <c r="N23" t="s">
        <v>90</v>
      </c>
    </row>
    <row r="24" spans="1:16" x14ac:dyDescent="0.25">
      <c r="A24" t="s">
        <v>91</v>
      </c>
      <c r="B24" s="10">
        <v>46139</v>
      </c>
      <c r="C24" t="str">
        <f t="shared" si="0"/>
        <v>April</v>
      </c>
      <c r="D24" t="s">
        <v>92</v>
      </c>
      <c r="E24" t="s">
        <v>93</v>
      </c>
      <c r="F24" t="s">
        <v>16</v>
      </c>
      <c r="G24" t="s">
        <v>65</v>
      </c>
      <c r="H24" t="s">
        <v>66</v>
      </c>
      <c r="I24" s="2">
        <v>9</v>
      </c>
      <c r="J24" s="2">
        <v>1500000</v>
      </c>
      <c r="K24" s="2">
        <v>13500000</v>
      </c>
      <c r="L24" s="3">
        <v>0.05</v>
      </c>
      <c r="M24" t="s">
        <v>31</v>
      </c>
      <c r="N24" t="s">
        <v>94</v>
      </c>
    </row>
    <row r="25" spans="1:16" x14ac:dyDescent="0.25">
      <c r="A25" t="s">
        <v>95</v>
      </c>
      <c r="B25" s="10">
        <v>46183</v>
      </c>
      <c r="C25" t="str">
        <f t="shared" si="0"/>
        <v>June</v>
      </c>
      <c r="D25" t="s">
        <v>58</v>
      </c>
      <c r="E25" t="s">
        <v>59</v>
      </c>
      <c r="F25" t="s">
        <v>28</v>
      </c>
      <c r="G25" t="s">
        <v>22</v>
      </c>
      <c r="H25" t="s">
        <v>23</v>
      </c>
      <c r="I25" s="2">
        <v>10</v>
      </c>
      <c r="J25" s="2">
        <v>5500000</v>
      </c>
      <c r="K25" s="2">
        <v>55000000</v>
      </c>
      <c r="L25" s="3">
        <v>0.05</v>
      </c>
      <c r="M25" t="s">
        <v>19</v>
      </c>
      <c r="N25" t="s">
        <v>96</v>
      </c>
    </row>
    <row r="26" spans="1:16" x14ac:dyDescent="0.25">
      <c r="A26" t="s">
        <v>97</v>
      </c>
      <c r="B26" s="10">
        <v>46218</v>
      </c>
      <c r="C26" t="str">
        <f t="shared" si="0"/>
        <v>July</v>
      </c>
      <c r="D26" t="s">
        <v>39</v>
      </c>
      <c r="E26" t="s">
        <v>40</v>
      </c>
      <c r="F26" t="s">
        <v>41</v>
      </c>
      <c r="G26" t="s">
        <v>22</v>
      </c>
      <c r="H26" t="s">
        <v>23</v>
      </c>
      <c r="I26" s="2">
        <v>13</v>
      </c>
      <c r="J26" s="2">
        <v>12000000</v>
      </c>
      <c r="K26" s="2">
        <v>156000000</v>
      </c>
      <c r="L26" s="3">
        <v>0</v>
      </c>
      <c r="M26" t="s">
        <v>31</v>
      </c>
      <c r="N26" t="s">
        <v>98</v>
      </c>
    </row>
    <row r="27" spans="1:16" x14ac:dyDescent="0.25">
      <c r="A27" t="s">
        <v>99</v>
      </c>
      <c r="B27" s="10">
        <v>46148</v>
      </c>
      <c r="C27" t="str">
        <f t="shared" si="0"/>
        <v>May</v>
      </c>
      <c r="D27" t="s">
        <v>92</v>
      </c>
      <c r="E27" t="s">
        <v>93</v>
      </c>
      <c r="F27" t="s">
        <v>16</v>
      </c>
      <c r="G27" t="s">
        <v>17</v>
      </c>
      <c r="H27" t="s">
        <v>18</v>
      </c>
      <c r="I27" s="2">
        <v>15</v>
      </c>
      <c r="J27" s="2">
        <v>1500000</v>
      </c>
      <c r="K27" s="2">
        <v>22500000</v>
      </c>
      <c r="L27" s="3">
        <v>0.1</v>
      </c>
      <c r="M27" t="s">
        <v>19</v>
      </c>
      <c r="N27" t="s">
        <v>100</v>
      </c>
    </row>
    <row r="28" spans="1:16" x14ac:dyDescent="0.25">
      <c r="A28" t="s">
        <v>101</v>
      </c>
      <c r="B28" s="10">
        <v>46037</v>
      </c>
      <c r="C28" t="str">
        <f t="shared" si="0"/>
        <v>January</v>
      </c>
      <c r="D28" t="s">
        <v>26</v>
      </c>
      <c r="E28" t="s">
        <v>27</v>
      </c>
      <c r="F28" t="s">
        <v>28</v>
      </c>
      <c r="G28" t="s">
        <v>22</v>
      </c>
      <c r="H28" t="s">
        <v>23</v>
      </c>
      <c r="I28" s="2">
        <v>2</v>
      </c>
      <c r="J28" s="2">
        <v>2500000</v>
      </c>
      <c r="K28" s="2">
        <v>5000000</v>
      </c>
      <c r="L28" s="3">
        <v>0</v>
      </c>
      <c r="M28" t="s">
        <v>51</v>
      </c>
      <c r="N28" t="s">
        <v>102</v>
      </c>
    </row>
    <row r="29" spans="1:16" x14ac:dyDescent="0.25">
      <c r="A29" t="s">
        <v>103</v>
      </c>
      <c r="B29" s="10">
        <v>46231</v>
      </c>
      <c r="C29" t="str">
        <f t="shared" si="0"/>
        <v>July</v>
      </c>
      <c r="D29" t="s">
        <v>14</v>
      </c>
      <c r="E29" t="s">
        <v>15</v>
      </c>
      <c r="F29" t="s">
        <v>16</v>
      </c>
      <c r="G29" t="s">
        <v>22</v>
      </c>
      <c r="H29" t="s">
        <v>23</v>
      </c>
      <c r="I29" s="2">
        <v>13</v>
      </c>
      <c r="J29" s="2">
        <v>3500000</v>
      </c>
      <c r="K29" s="2">
        <v>45500000</v>
      </c>
      <c r="L29" s="3">
        <v>0.05</v>
      </c>
      <c r="M29" t="s">
        <v>19</v>
      </c>
      <c r="N29" t="s">
        <v>104</v>
      </c>
    </row>
    <row r="30" spans="1:16" x14ac:dyDescent="0.25">
      <c r="A30" t="s">
        <v>105</v>
      </c>
      <c r="B30" s="10">
        <v>46144</v>
      </c>
      <c r="C30" t="str">
        <f t="shared" si="0"/>
        <v>May</v>
      </c>
      <c r="D30" t="s">
        <v>39</v>
      </c>
      <c r="E30" t="s">
        <v>40</v>
      </c>
      <c r="F30" t="s">
        <v>41</v>
      </c>
      <c r="G30" t="s">
        <v>65</v>
      </c>
      <c r="H30" t="s">
        <v>66</v>
      </c>
      <c r="I30" s="2">
        <v>9</v>
      </c>
      <c r="J30" s="2">
        <v>12000000</v>
      </c>
      <c r="K30" s="2">
        <v>108000000</v>
      </c>
      <c r="L30" s="3">
        <v>0.15</v>
      </c>
      <c r="M30" t="s">
        <v>19</v>
      </c>
      <c r="N30" t="s">
        <v>106</v>
      </c>
    </row>
    <row r="31" spans="1:16" x14ac:dyDescent="0.25">
      <c r="A31" t="s">
        <v>107</v>
      </c>
      <c r="B31" s="10">
        <v>46216</v>
      </c>
      <c r="C31" t="str">
        <f t="shared" si="0"/>
        <v>July</v>
      </c>
      <c r="D31" t="s">
        <v>26</v>
      </c>
      <c r="E31" t="s">
        <v>27</v>
      </c>
      <c r="F31" t="s">
        <v>28</v>
      </c>
      <c r="G31" t="s">
        <v>65</v>
      </c>
      <c r="H31" t="s">
        <v>66</v>
      </c>
      <c r="I31" s="2">
        <v>7</v>
      </c>
      <c r="J31" s="2">
        <v>2500000</v>
      </c>
      <c r="K31" s="2">
        <v>17500000</v>
      </c>
      <c r="L31" s="3">
        <v>0.1</v>
      </c>
      <c r="M31" t="s">
        <v>77</v>
      </c>
      <c r="N31" t="s">
        <v>108</v>
      </c>
    </row>
    <row r="32" spans="1:16" x14ac:dyDescent="0.25">
      <c r="A32" t="s">
        <v>109</v>
      </c>
      <c r="B32" s="10">
        <v>46138</v>
      </c>
      <c r="C32" t="str">
        <f t="shared" si="0"/>
        <v>April</v>
      </c>
      <c r="D32" t="s">
        <v>14</v>
      </c>
      <c r="E32" t="s">
        <v>15</v>
      </c>
      <c r="F32" t="s">
        <v>16</v>
      </c>
      <c r="G32" t="s">
        <v>29</v>
      </c>
      <c r="H32" t="s">
        <v>30</v>
      </c>
      <c r="I32" s="2">
        <v>4</v>
      </c>
      <c r="J32" s="2">
        <v>3500000</v>
      </c>
      <c r="K32" s="2">
        <v>14000000</v>
      </c>
      <c r="L32" s="3">
        <v>0</v>
      </c>
      <c r="M32" t="s">
        <v>19</v>
      </c>
      <c r="N32" t="s">
        <v>110</v>
      </c>
    </row>
    <row r="33" spans="1:14" x14ac:dyDescent="0.25">
      <c r="A33" t="s">
        <v>111</v>
      </c>
      <c r="B33" s="10">
        <v>46173</v>
      </c>
      <c r="C33" t="str">
        <f t="shared" si="0"/>
        <v>May</v>
      </c>
      <c r="D33" t="s">
        <v>26</v>
      </c>
      <c r="E33" t="s">
        <v>27</v>
      </c>
      <c r="F33" t="s">
        <v>28</v>
      </c>
      <c r="G33" t="s">
        <v>22</v>
      </c>
      <c r="H33" t="s">
        <v>23</v>
      </c>
      <c r="I33" s="2">
        <v>4</v>
      </c>
      <c r="J33" s="2">
        <v>2500000</v>
      </c>
      <c r="K33" s="2">
        <v>10000000</v>
      </c>
      <c r="L33" s="3">
        <v>0</v>
      </c>
      <c r="M33" t="s">
        <v>19</v>
      </c>
      <c r="N33" t="s">
        <v>112</v>
      </c>
    </row>
    <row r="34" spans="1:14" x14ac:dyDescent="0.25">
      <c r="A34" t="s">
        <v>113</v>
      </c>
      <c r="B34" s="10">
        <v>46184</v>
      </c>
      <c r="C34" t="str">
        <f t="shared" si="0"/>
        <v>June</v>
      </c>
      <c r="D34" t="s">
        <v>92</v>
      </c>
      <c r="E34" t="s">
        <v>93</v>
      </c>
      <c r="F34" t="s">
        <v>16</v>
      </c>
      <c r="G34" t="s">
        <v>29</v>
      </c>
      <c r="H34" t="s">
        <v>30</v>
      </c>
      <c r="I34" s="2">
        <v>2</v>
      </c>
      <c r="J34" s="2">
        <v>1500000</v>
      </c>
      <c r="K34" s="2">
        <v>3000000</v>
      </c>
      <c r="L34" s="3">
        <v>0</v>
      </c>
      <c r="M34" t="s">
        <v>19</v>
      </c>
      <c r="N34" t="s">
        <v>114</v>
      </c>
    </row>
    <row r="35" spans="1:14" x14ac:dyDescent="0.25">
      <c r="A35" t="s">
        <v>115</v>
      </c>
      <c r="B35" s="10">
        <v>46154</v>
      </c>
      <c r="C35" t="str">
        <f t="shared" si="0"/>
        <v>May</v>
      </c>
      <c r="D35" t="s">
        <v>26</v>
      </c>
      <c r="E35" t="s">
        <v>27</v>
      </c>
      <c r="F35" t="s">
        <v>28</v>
      </c>
      <c r="G35" t="s">
        <v>65</v>
      </c>
      <c r="H35" t="s">
        <v>66</v>
      </c>
      <c r="I35" s="2">
        <v>11</v>
      </c>
      <c r="J35" s="2">
        <v>2500000</v>
      </c>
      <c r="K35" s="2">
        <v>27500000</v>
      </c>
      <c r="L35" s="3">
        <v>0.15</v>
      </c>
      <c r="M35" t="s">
        <v>19</v>
      </c>
      <c r="N35" t="s">
        <v>116</v>
      </c>
    </row>
    <row r="36" spans="1:14" x14ac:dyDescent="0.25">
      <c r="A36" t="s">
        <v>117</v>
      </c>
      <c r="B36" s="10">
        <v>46056</v>
      </c>
      <c r="C36" t="str">
        <f t="shared" si="0"/>
        <v>February</v>
      </c>
      <c r="D36" t="s">
        <v>62</v>
      </c>
      <c r="E36" t="s">
        <v>63</v>
      </c>
      <c r="F36" t="s">
        <v>64</v>
      </c>
      <c r="G36" t="s">
        <v>29</v>
      </c>
      <c r="H36" t="s">
        <v>30</v>
      </c>
      <c r="I36" s="2">
        <v>13</v>
      </c>
      <c r="J36" s="2">
        <v>4000000</v>
      </c>
      <c r="K36" s="2">
        <v>52000000</v>
      </c>
      <c r="L36" s="3">
        <v>0.15</v>
      </c>
      <c r="M36" t="s">
        <v>77</v>
      </c>
      <c r="N36" t="s">
        <v>118</v>
      </c>
    </row>
    <row r="37" spans="1:14" x14ac:dyDescent="0.25">
      <c r="A37" t="s">
        <v>119</v>
      </c>
      <c r="B37" s="10">
        <v>46047</v>
      </c>
      <c r="C37" t="str">
        <f t="shared" si="0"/>
        <v>January</v>
      </c>
      <c r="D37" t="s">
        <v>14</v>
      </c>
      <c r="E37" t="s">
        <v>15</v>
      </c>
      <c r="F37" t="s">
        <v>16</v>
      </c>
      <c r="G37" t="s">
        <v>42</v>
      </c>
      <c r="H37" t="s">
        <v>43</v>
      </c>
      <c r="I37" s="2">
        <v>6</v>
      </c>
      <c r="J37" s="2">
        <v>3500000</v>
      </c>
      <c r="K37" s="2">
        <v>21000000</v>
      </c>
      <c r="L37" s="3">
        <v>0.15</v>
      </c>
      <c r="M37" t="s">
        <v>77</v>
      </c>
      <c r="N37" t="s">
        <v>120</v>
      </c>
    </row>
    <row r="38" spans="1:14" x14ac:dyDescent="0.25">
      <c r="A38" t="s">
        <v>121</v>
      </c>
      <c r="B38" s="10">
        <v>46209</v>
      </c>
      <c r="C38" t="str">
        <f t="shared" si="0"/>
        <v>July</v>
      </c>
      <c r="D38" t="s">
        <v>92</v>
      </c>
      <c r="E38" t="s">
        <v>93</v>
      </c>
      <c r="F38" t="s">
        <v>16</v>
      </c>
      <c r="G38" t="s">
        <v>17</v>
      </c>
      <c r="H38" t="s">
        <v>18</v>
      </c>
      <c r="I38" s="2">
        <v>1</v>
      </c>
      <c r="J38" s="2">
        <v>1500000</v>
      </c>
      <c r="K38" s="2">
        <v>1500000</v>
      </c>
      <c r="L38" s="3">
        <v>0.15</v>
      </c>
      <c r="M38" t="s">
        <v>51</v>
      </c>
      <c r="N38" t="s">
        <v>122</v>
      </c>
    </row>
    <row r="39" spans="1:14" x14ac:dyDescent="0.25">
      <c r="A39" t="s">
        <v>123</v>
      </c>
      <c r="B39" s="10">
        <v>46227</v>
      </c>
      <c r="C39" t="str">
        <f t="shared" si="0"/>
        <v>July</v>
      </c>
      <c r="D39" t="s">
        <v>14</v>
      </c>
      <c r="E39" t="s">
        <v>15</v>
      </c>
      <c r="F39" t="s">
        <v>16</v>
      </c>
      <c r="G39" t="s">
        <v>29</v>
      </c>
      <c r="H39" t="s">
        <v>30</v>
      </c>
      <c r="I39" s="2">
        <v>4</v>
      </c>
      <c r="J39" s="2">
        <v>3500000</v>
      </c>
      <c r="K39" s="2">
        <v>14000000</v>
      </c>
      <c r="L39" s="3">
        <v>0.05</v>
      </c>
      <c r="M39" t="s">
        <v>31</v>
      </c>
      <c r="N39" t="s">
        <v>124</v>
      </c>
    </row>
    <row r="40" spans="1:14" x14ac:dyDescent="0.25">
      <c r="A40" t="s">
        <v>125</v>
      </c>
      <c r="B40" s="10">
        <v>46058</v>
      </c>
      <c r="C40" t="str">
        <f t="shared" si="0"/>
        <v>February</v>
      </c>
      <c r="D40" t="s">
        <v>34</v>
      </c>
      <c r="E40" t="s">
        <v>35</v>
      </c>
      <c r="F40" t="s">
        <v>36</v>
      </c>
      <c r="G40" t="s">
        <v>29</v>
      </c>
      <c r="H40" t="s">
        <v>30</v>
      </c>
      <c r="I40" s="2">
        <v>5</v>
      </c>
      <c r="J40" s="2">
        <v>2000000</v>
      </c>
      <c r="K40" s="2">
        <v>10000000</v>
      </c>
      <c r="L40" s="3">
        <v>0.15</v>
      </c>
      <c r="M40" t="s">
        <v>19</v>
      </c>
      <c r="N40" t="s">
        <v>126</v>
      </c>
    </row>
    <row r="41" spans="1:14" x14ac:dyDescent="0.25">
      <c r="A41" t="s">
        <v>127</v>
      </c>
      <c r="B41" s="10">
        <v>46042</v>
      </c>
      <c r="C41" t="str">
        <f t="shared" si="0"/>
        <v>January</v>
      </c>
      <c r="D41" t="s">
        <v>62</v>
      </c>
      <c r="E41" t="s">
        <v>63</v>
      </c>
      <c r="F41" t="s">
        <v>64</v>
      </c>
      <c r="G41" t="s">
        <v>22</v>
      </c>
      <c r="H41" t="s">
        <v>23</v>
      </c>
      <c r="I41" s="2">
        <v>2</v>
      </c>
      <c r="J41" s="2">
        <v>4000000</v>
      </c>
      <c r="K41" s="2">
        <v>8000000</v>
      </c>
      <c r="L41" s="3">
        <v>0</v>
      </c>
      <c r="M41" t="s">
        <v>51</v>
      </c>
      <c r="N41" t="s">
        <v>128</v>
      </c>
    </row>
    <row r="42" spans="1:14" x14ac:dyDescent="0.25">
      <c r="A42" t="s">
        <v>129</v>
      </c>
      <c r="B42" s="10">
        <v>46237</v>
      </c>
      <c r="C42" t="str">
        <f t="shared" si="0"/>
        <v>August</v>
      </c>
      <c r="D42" t="s">
        <v>92</v>
      </c>
      <c r="E42" t="s">
        <v>93</v>
      </c>
      <c r="F42" t="s">
        <v>16</v>
      </c>
      <c r="G42" t="s">
        <v>17</v>
      </c>
      <c r="H42" t="s">
        <v>18</v>
      </c>
      <c r="I42" s="2">
        <v>15</v>
      </c>
      <c r="J42" s="2">
        <v>1500000</v>
      </c>
      <c r="K42" s="2">
        <v>22500000</v>
      </c>
      <c r="L42" s="3">
        <v>0.05</v>
      </c>
      <c r="M42" t="s">
        <v>19</v>
      </c>
      <c r="N42" t="s">
        <v>130</v>
      </c>
    </row>
    <row r="43" spans="1:14" x14ac:dyDescent="0.25">
      <c r="A43" t="s">
        <v>131</v>
      </c>
      <c r="B43" s="10">
        <v>46147</v>
      </c>
      <c r="C43" t="str">
        <f t="shared" si="0"/>
        <v>May</v>
      </c>
      <c r="D43" t="s">
        <v>62</v>
      </c>
      <c r="E43" t="s">
        <v>63</v>
      </c>
      <c r="F43" t="s">
        <v>64</v>
      </c>
      <c r="G43" t="s">
        <v>29</v>
      </c>
      <c r="H43" t="s">
        <v>30</v>
      </c>
      <c r="I43" s="2">
        <v>14</v>
      </c>
      <c r="J43" s="2">
        <v>4000000</v>
      </c>
      <c r="K43" s="2">
        <v>56000000</v>
      </c>
      <c r="L43" s="3">
        <v>0.15</v>
      </c>
      <c r="M43" t="s">
        <v>19</v>
      </c>
      <c r="N43" t="s">
        <v>132</v>
      </c>
    </row>
    <row r="44" spans="1:14" x14ac:dyDescent="0.25">
      <c r="A44" t="s">
        <v>133</v>
      </c>
      <c r="B44" s="10">
        <v>46120</v>
      </c>
      <c r="C44" t="str">
        <f t="shared" si="0"/>
        <v>April</v>
      </c>
      <c r="D44" t="s">
        <v>92</v>
      </c>
      <c r="E44" t="s">
        <v>93</v>
      </c>
      <c r="F44" t="s">
        <v>16</v>
      </c>
      <c r="G44" t="s">
        <v>42</v>
      </c>
      <c r="H44" t="s">
        <v>43</v>
      </c>
      <c r="I44" s="2">
        <v>5</v>
      </c>
      <c r="J44" s="2">
        <v>1500000</v>
      </c>
      <c r="K44" s="2">
        <v>7500000</v>
      </c>
      <c r="L44" s="3">
        <v>0.15</v>
      </c>
      <c r="M44" t="s">
        <v>19</v>
      </c>
      <c r="N44" t="s">
        <v>134</v>
      </c>
    </row>
    <row r="45" spans="1:14" x14ac:dyDescent="0.25">
      <c r="A45" t="s">
        <v>135</v>
      </c>
      <c r="B45" s="10">
        <v>46201</v>
      </c>
      <c r="C45" t="str">
        <f t="shared" si="0"/>
        <v>June</v>
      </c>
      <c r="D45" t="s">
        <v>62</v>
      </c>
      <c r="E45" t="s">
        <v>63</v>
      </c>
      <c r="F45" t="s">
        <v>64</v>
      </c>
      <c r="G45" t="s">
        <v>29</v>
      </c>
      <c r="H45" t="s">
        <v>30</v>
      </c>
      <c r="I45" s="2">
        <v>4</v>
      </c>
      <c r="J45" s="2">
        <v>4000000</v>
      </c>
      <c r="K45" s="2">
        <v>16000000</v>
      </c>
      <c r="L45" s="3">
        <v>0.1</v>
      </c>
      <c r="M45" t="s">
        <v>19</v>
      </c>
      <c r="N45" t="s">
        <v>136</v>
      </c>
    </row>
    <row r="46" spans="1:14" x14ac:dyDescent="0.25">
      <c r="A46" t="s">
        <v>137</v>
      </c>
      <c r="B46" s="10">
        <v>46171</v>
      </c>
      <c r="C46" t="str">
        <f t="shared" si="0"/>
        <v>May</v>
      </c>
      <c r="D46" t="s">
        <v>92</v>
      </c>
      <c r="E46" t="s">
        <v>93</v>
      </c>
      <c r="F46" t="s">
        <v>16</v>
      </c>
      <c r="G46" t="s">
        <v>65</v>
      </c>
      <c r="H46" t="s">
        <v>66</v>
      </c>
      <c r="I46" s="2">
        <v>1</v>
      </c>
      <c r="J46" s="2">
        <v>1500000</v>
      </c>
      <c r="K46" s="2">
        <v>1500000</v>
      </c>
      <c r="L46" s="3">
        <v>0</v>
      </c>
      <c r="M46" t="s">
        <v>31</v>
      </c>
      <c r="N46" t="s">
        <v>138</v>
      </c>
    </row>
    <row r="47" spans="1:14" x14ac:dyDescent="0.25">
      <c r="A47" t="s">
        <v>139</v>
      </c>
      <c r="B47" s="10">
        <v>46151</v>
      </c>
      <c r="C47" t="str">
        <f t="shared" si="0"/>
        <v>May</v>
      </c>
      <c r="D47" t="s">
        <v>39</v>
      </c>
      <c r="E47" t="s">
        <v>40</v>
      </c>
      <c r="F47" t="s">
        <v>41</v>
      </c>
      <c r="G47" t="s">
        <v>17</v>
      </c>
      <c r="H47" t="s">
        <v>18</v>
      </c>
      <c r="I47" s="2">
        <v>9</v>
      </c>
      <c r="J47" s="2">
        <v>12000000</v>
      </c>
      <c r="K47" s="2">
        <v>108000000</v>
      </c>
      <c r="L47" s="3">
        <v>0</v>
      </c>
      <c r="M47" t="s">
        <v>19</v>
      </c>
      <c r="N47" t="s">
        <v>140</v>
      </c>
    </row>
    <row r="48" spans="1:14" x14ac:dyDescent="0.25">
      <c r="A48" t="s">
        <v>141</v>
      </c>
      <c r="B48" s="10">
        <v>46175</v>
      </c>
      <c r="C48" t="str">
        <f t="shared" si="0"/>
        <v>June</v>
      </c>
      <c r="D48" t="s">
        <v>14</v>
      </c>
      <c r="E48" t="s">
        <v>15</v>
      </c>
      <c r="F48" t="s">
        <v>16</v>
      </c>
      <c r="G48" t="s">
        <v>29</v>
      </c>
      <c r="H48" t="s">
        <v>30</v>
      </c>
      <c r="I48" s="2">
        <v>7</v>
      </c>
      <c r="J48" s="2">
        <v>3500000</v>
      </c>
      <c r="K48" s="2">
        <v>24500000</v>
      </c>
      <c r="L48" s="3">
        <v>0</v>
      </c>
      <c r="M48" t="s">
        <v>31</v>
      </c>
      <c r="N48" t="s">
        <v>142</v>
      </c>
    </row>
    <row r="49" spans="1:14" x14ac:dyDescent="0.25">
      <c r="A49" t="s">
        <v>143</v>
      </c>
      <c r="B49" s="10">
        <v>46171</v>
      </c>
      <c r="C49" t="str">
        <f t="shared" si="0"/>
        <v>May</v>
      </c>
      <c r="D49" t="s">
        <v>92</v>
      </c>
      <c r="E49" t="s">
        <v>93</v>
      </c>
      <c r="F49" t="s">
        <v>16</v>
      </c>
      <c r="G49" t="s">
        <v>22</v>
      </c>
      <c r="H49" t="s">
        <v>23</v>
      </c>
      <c r="I49" s="2">
        <v>2</v>
      </c>
      <c r="J49" s="2">
        <v>1500000</v>
      </c>
      <c r="K49" s="2">
        <v>3000000</v>
      </c>
      <c r="L49" s="3">
        <v>0.15</v>
      </c>
      <c r="M49" t="s">
        <v>51</v>
      </c>
      <c r="N49" t="s">
        <v>144</v>
      </c>
    </row>
    <row r="50" spans="1:14" x14ac:dyDescent="0.25">
      <c r="A50" t="s">
        <v>145</v>
      </c>
      <c r="B50" s="10">
        <v>46167</v>
      </c>
      <c r="C50" t="str">
        <f t="shared" si="0"/>
        <v>May</v>
      </c>
      <c r="D50" t="s">
        <v>46</v>
      </c>
      <c r="E50" t="s">
        <v>47</v>
      </c>
      <c r="F50" t="s">
        <v>48</v>
      </c>
      <c r="G50" t="s">
        <v>65</v>
      </c>
      <c r="H50" t="s">
        <v>66</v>
      </c>
      <c r="I50" s="2">
        <v>4</v>
      </c>
      <c r="J50" s="2">
        <v>750000</v>
      </c>
      <c r="K50" s="2">
        <v>3000000</v>
      </c>
      <c r="L50" s="3">
        <v>0.1</v>
      </c>
      <c r="M50" t="s">
        <v>19</v>
      </c>
      <c r="N50" t="s">
        <v>146</v>
      </c>
    </row>
    <row r="51" spans="1:14" x14ac:dyDescent="0.25">
      <c r="A51" t="s">
        <v>147</v>
      </c>
      <c r="B51" s="10">
        <v>46124</v>
      </c>
      <c r="C51" t="str">
        <f t="shared" si="0"/>
        <v>April</v>
      </c>
      <c r="D51" t="s">
        <v>39</v>
      </c>
      <c r="E51" t="s">
        <v>40</v>
      </c>
      <c r="F51" t="s">
        <v>41</v>
      </c>
      <c r="G51" t="s">
        <v>65</v>
      </c>
      <c r="H51" t="s">
        <v>66</v>
      </c>
      <c r="I51" s="2">
        <v>8</v>
      </c>
      <c r="J51" s="2">
        <v>12000000</v>
      </c>
      <c r="K51" s="2">
        <v>96000000</v>
      </c>
      <c r="L51" s="3">
        <v>0.1</v>
      </c>
      <c r="M51" t="s">
        <v>19</v>
      </c>
      <c r="N51" t="s">
        <v>148</v>
      </c>
    </row>
    <row r="52" spans="1:14" x14ac:dyDescent="0.25">
      <c r="A52" t="s">
        <v>149</v>
      </c>
      <c r="B52" s="10">
        <v>46140</v>
      </c>
      <c r="C52" t="str">
        <f t="shared" si="0"/>
        <v>April</v>
      </c>
      <c r="D52" t="s">
        <v>14</v>
      </c>
      <c r="E52" t="s">
        <v>15</v>
      </c>
      <c r="F52" t="s">
        <v>16</v>
      </c>
      <c r="G52" t="s">
        <v>17</v>
      </c>
      <c r="H52" t="s">
        <v>18</v>
      </c>
      <c r="I52" s="2">
        <v>9</v>
      </c>
      <c r="J52" s="2">
        <v>3500000</v>
      </c>
      <c r="K52" s="2">
        <v>31500000</v>
      </c>
      <c r="L52" s="3">
        <v>0.05</v>
      </c>
      <c r="M52" t="s">
        <v>31</v>
      </c>
      <c r="N52" t="s">
        <v>150</v>
      </c>
    </row>
    <row r="53" spans="1:14" x14ac:dyDescent="0.25">
      <c r="A53" t="s">
        <v>151</v>
      </c>
      <c r="B53" s="10">
        <v>46056</v>
      </c>
      <c r="C53" t="str">
        <f t="shared" si="0"/>
        <v>February</v>
      </c>
      <c r="D53" t="s">
        <v>46</v>
      </c>
      <c r="E53" t="s">
        <v>47</v>
      </c>
      <c r="F53" t="s">
        <v>48</v>
      </c>
      <c r="G53" t="s">
        <v>17</v>
      </c>
      <c r="H53" t="s">
        <v>18</v>
      </c>
      <c r="I53" s="2">
        <v>15</v>
      </c>
      <c r="J53" s="2">
        <v>750000</v>
      </c>
      <c r="K53" s="2">
        <v>11250000</v>
      </c>
      <c r="L53" s="3">
        <v>0.05</v>
      </c>
      <c r="M53" t="s">
        <v>19</v>
      </c>
      <c r="N53" t="s">
        <v>152</v>
      </c>
    </row>
    <row r="54" spans="1:14" x14ac:dyDescent="0.25">
      <c r="A54" t="s">
        <v>153</v>
      </c>
      <c r="B54" s="10">
        <v>46063</v>
      </c>
      <c r="C54" t="str">
        <f t="shared" si="0"/>
        <v>February</v>
      </c>
      <c r="D54" t="s">
        <v>62</v>
      </c>
      <c r="E54" t="s">
        <v>63</v>
      </c>
      <c r="F54" t="s">
        <v>64</v>
      </c>
      <c r="G54" t="s">
        <v>22</v>
      </c>
      <c r="H54" t="s">
        <v>23</v>
      </c>
      <c r="I54" s="2">
        <v>12</v>
      </c>
      <c r="J54" s="2">
        <v>4000000</v>
      </c>
      <c r="K54" s="2">
        <v>48000000</v>
      </c>
      <c r="L54" s="3">
        <v>0.1</v>
      </c>
      <c r="M54" t="s">
        <v>31</v>
      </c>
      <c r="N54" t="s">
        <v>154</v>
      </c>
    </row>
    <row r="55" spans="1:14" x14ac:dyDescent="0.25">
      <c r="A55" t="s">
        <v>155</v>
      </c>
      <c r="B55" s="10">
        <v>46190</v>
      </c>
      <c r="C55" t="str">
        <f t="shared" si="0"/>
        <v>June</v>
      </c>
      <c r="D55" t="s">
        <v>92</v>
      </c>
      <c r="E55" t="s">
        <v>93</v>
      </c>
      <c r="F55" t="s">
        <v>16</v>
      </c>
      <c r="G55" t="s">
        <v>22</v>
      </c>
      <c r="H55" t="s">
        <v>23</v>
      </c>
      <c r="I55" s="2">
        <v>5</v>
      </c>
      <c r="J55" s="2">
        <v>1500000</v>
      </c>
      <c r="K55" s="2">
        <v>7500000</v>
      </c>
      <c r="L55" s="3">
        <v>0</v>
      </c>
      <c r="M55" t="s">
        <v>19</v>
      </c>
      <c r="N55" t="s">
        <v>156</v>
      </c>
    </row>
    <row r="56" spans="1:14" x14ac:dyDescent="0.25">
      <c r="A56" t="s">
        <v>157</v>
      </c>
      <c r="B56" s="10">
        <v>46052</v>
      </c>
      <c r="C56" t="str">
        <f t="shared" si="0"/>
        <v>January</v>
      </c>
      <c r="D56" t="s">
        <v>14</v>
      </c>
      <c r="E56" t="s">
        <v>15</v>
      </c>
      <c r="F56" t="s">
        <v>16</v>
      </c>
      <c r="G56" t="s">
        <v>22</v>
      </c>
      <c r="H56" t="s">
        <v>23</v>
      </c>
      <c r="I56" s="2">
        <v>3</v>
      </c>
      <c r="J56" s="2">
        <v>3500000</v>
      </c>
      <c r="K56" s="2">
        <v>10500000</v>
      </c>
      <c r="L56" s="3">
        <v>0.1</v>
      </c>
      <c r="M56" t="s">
        <v>19</v>
      </c>
      <c r="N56" t="s">
        <v>158</v>
      </c>
    </row>
    <row r="57" spans="1:14" x14ac:dyDescent="0.25">
      <c r="A57" t="s">
        <v>159</v>
      </c>
      <c r="B57" s="10">
        <v>46076</v>
      </c>
      <c r="C57" t="str">
        <f t="shared" si="0"/>
        <v>February</v>
      </c>
      <c r="D57" t="s">
        <v>46</v>
      </c>
      <c r="E57" t="s">
        <v>47</v>
      </c>
      <c r="F57" t="s">
        <v>48</v>
      </c>
      <c r="G57" t="s">
        <v>29</v>
      </c>
      <c r="H57" t="s">
        <v>30</v>
      </c>
      <c r="I57" s="2">
        <v>11</v>
      </c>
      <c r="J57" s="2">
        <v>750000</v>
      </c>
      <c r="K57" s="2">
        <v>8250000</v>
      </c>
      <c r="L57" s="3">
        <v>0.1</v>
      </c>
      <c r="M57" t="s">
        <v>31</v>
      </c>
      <c r="N57" t="s">
        <v>160</v>
      </c>
    </row>
    <row r="58" spans="1:14" x14ac:dyDescent="0.25">
      <c r="A58" t="s">
        <v>161</v>
      </c>
      <c r="B58" s="10">
        <v>46087</v>
      </c>
      <c r="C58" t="str">
        <f t="shared" si="0"/>
        <v>March</v>
      </c>
      <c r="D58" t="s">
        <v>92</v>
      </c>
      <c r="E58" t="s">
        <v>93</v>
      </c>
      <c r="F58" t="s">
        <v>16</v>
      </c>
      <c r="G58" t="s">
        <v>17</v>
      </c>
      <c r="H58" t="s">
        <v>18</v>
      </c>
      <c r="I58" s="2">
        <v>11</v>
      </c>
      <c r="J58" s="2">
        <v>1500000</v>
      </c>
      <c r="K58" s="2">
        <v>16500000</v>
      </c>
      <c r="L58" s="3">
        <v>0.15</v>
      </c>
      <c r="M58" t="s">
        <v>19</v>
      </c>
      <c r="N58" t="s">
        <v>162</v>
      </c>
    </row>
    <row r="59" spans="1:14" x14ac:dyDescent="0.25">
      <c r="A59" t="s">
        <v>163</v>
      </c>
      <c r="B59" s="10">
        <v>46023</v>
      </c>
      <c r="C59" t="str">
        <f t="shared" si="0"/>
        <v>January</v>
      </c>
      <c r="D59" t="s">
        <v>46</v>
      </c>
      <c r="E59" t="s">
        <v>47</v>
      </c>
      <c r="F59" t="s">
        <v>48</v>
      </c>
      <c r="G59" t="s">
        <v>29</v>
      </c>
      <c r="H59" t="s">
        <v>30</v>
      </c>
      <c r="I59" s="2">
        <v>11</v>
      </c>
      <c r="J59" s="2">
        <v>750000</v>
      </c>
      <c r="K59" s="2">
        <v>8250000</v>
      </c>
      <c r="L59" s="3">
        <v>0.1</v>
      </c>
      <c r="M59" t="s">
        <v>19</v>
      </c>
      <c r="N59" t="s">
        <v>164</v>
      </c>
    </row>
    <row r="60" spans="1:14" x14ac:dyDescent="0.25">
      <c r="A60" t="s">
        <v>165</v>
      </c>
      <c r="B60" s="10">
        <v>46136</v>
      </c>
      <c r="C60" t="str">
        <f t="shared" si="0"/>
        <v>April</v>
      </c>
      <c r="D60" t="s">
        <v>34</v>
      </c>
      <c r="E60" t="s">
        <v>35</v>
      </c>
      <c r="F60" t="s">
        <v>36</v>
      </c>
      <c r="G60" t="s">
        <v>22</v>
      </c>
      <c r="H60" t="s">
        <v>23</v>
      </c>
      <c r="I60" s="2">
        <v>1</v>
      </c>
      <c r="J60" s="2">
        <v>2000000</v>
      </c>
      <c r="K60" s="2">
        <v>2000000</v>
      </c>
      <c r="L60" s="3">
        <v>0</v>
      </c>
      <c r="M60" t="s">
        <v>19</v>
      </c>
      <c r="N60" t="s">
        <v>166</v>
      </c>
    </row>
    <row r="61" spans="1:14" x14ac:dyDescent="0.25">
      <c r="A61" t="s">
        <v>167</v>
      </c>
      <c r="B61" s="10">
        <v>46061</v>
      </c>
      <c r="C61" t="str">
        <f t="shared" si="0"/>
        <v>February</v>
      </c>
      <c r="D61" t="s">
        <v>92</v>
      </c>
      <c r="E61" t="s">
        <v>93</v>
      </c>
      <c r="F61" t="s">
        <v>16</v>
      </c>
      <c r="G61" t="s">
        <v>65</v>
      </c>
      <c r="H61" t="s">
        <v>66</v>
      </c>
      <c r="I61" s="2">
        <v>10</v>
      </c>
      <c r="J61" s="2">
        <v>1500000</v>
      </c>
      <c r="K61" s="2">
        <v>15000000</v>
      </c>
      <c r="L61" s="3">
        <v>0.05</v>
      </c>
      <c r="M61" t="s">
        <v>77</v>
      </c>
      <c r="N61" t="s">
        <v>168</v>
      </c>
    </row>
    <row r="62" spans="1:14" x14ac:dyDescent="0.25">
      <c r="A62" t="s">
        <v>169</v>
      </c>
      <c r="B62" s="10">
        <v>46033</v>
      </c>
      <c r="C62" t="str">
        <f t="shared" si="0"/>
        <v>January</v>
      </c>
      <c r="D62" t="s">
        <v>58</v>
      </c>
      <c r="E62" t="s">
        <v>59</v>
      </c>
      <c r="F62" t="s">
        <v>28</v>
      </c>
      <c r="G62" t="s">
        <v>65</v>
      </c>
      <c r="H62" t="s">
        <v>66</v>
      </c>
      <c r="I62" s="2">
        <v>15</v>
      </c>
      <c r="J62" s="2">
        <v>5500000</v>
      </c>
      <c r="K62" s="2">
        <v>82500000</v>
      </c>
      <c r="L62" s="3">
        <v>0</v>
      </c>
      <c r="M62" t="s">
        <v>19</v>
      </c>
      <c r="N62" t="s">
        <v>170</v>
      </c>
    </row>
    <row r="63" spans="1:14" x14ac:dyDescent="0.25">
      <c r="A63" t="s">
        <v>171</v>
      </c>
      <c r="B63" s="10">
        <v>46197</v>
      </c>
      <c r="C63" t="str">
        <f t="shared" si="0"/>
        <v>June</v>
      </c>
      <c r="D63" t="s">
        <v>26</v>
      </c>
      <c r="E63" t="s">
        <v>27</v>
      </c>
      <c r="F63" t="s">
        <v>28</v>
      </c>
      <c r="G63" t="s">
        <v>17</v>
      </c>
      <c r="H63" t="s">
        <v>18</v>
      </c>
      <c r="I63" s="2">
        <v>6</v>
      </c>
      <c r="J63" s="2">
        <v>2500000</v>
      </c>
      <c r="K63" s="2">
        <v>15000000</v>
      </c>
      <c r="L63" s="3">
        <v>0.15</v>
      </c>
      <c r="M63" t="s">
        <v>31</v>
      </c>
      <c r="N63" t="s">
        <v>172</v>
      </c>
    </row>
    <row r="64" spans="1:14" x14ac:dyDescent="0.25">
      <c r="A64" t="s">
        <v>173</v>
      </c>
      <c r="B64" s="10">
        <v>46062</v>
      </c>
      <c r="C64" t="str">
        <f t="shared" si="0"/>
        <v>February</v>
      </c>
      <c r="D64" t="s">
        <v>26</v>
      </c>
      <c r="E64" t="s">
        <v>27</v>
      </c>
      <c r="F64" t="s">
        <v>28</v>
      </c>
      <c r="G64" t="s">
        <v>29</v>
      </c>
      <c r="H64" t="s">
        <v>30</v>
      </c>
      <c r="I64" s="2">
        <v>13</v>
      </c>
      <c r="J64" s="2">
        <v>2500000</v>
      </c>
      <c r="K64" s="2">
        <v>32500000</v>
      </c>
      <c r="L64" s="3">
        <v>0.05</v>
      </c>
      <c r="M64" t="s">
        <v>77</v>
      </c>
      <c r="N64" t="s">
        <v>174</v>
      </c>
    </row>
    <row r="65" spans="1:14" x14ac:dyDescent="0.25">
      <c r="A65" t="s">
        <v>175</v>
      </c>
      <c r="B65" s="10">
        <v>46068</v>
      </c>
      <c r="C65" t="str">
        <f t="shared" si="0"/>
        <v>February</v>
      </c>
      <c r="D65" t="s">
        <v>46</v>
      </c>
      <c r="E65" t="s">
        <v>47</v>
      </c>
      <c r="F65" t="s">
        <v>48</v>
      </c>
      <c r="G65" t="s">
        <v>42</v>
      </c>
      <c r="H65" t="s">
        <v>43</v>
      </c>
      <c r="I65" s="2">
        <v>13</v>
      </c>
      <c r="J65" s="2">
        <v>750000</v>
      </c>
      <c r="K65" s="2">
        <v>9750000</v>
      </c>
      <c r="L65" s="3">
        <v>0.05</v>
      </c>
      <c r="M65" t="s">
        <v>19</v>
      </c>
      <c r="N65" t="s">
        <v>176</v>
      </c>
    </row>
    <row r="66" spans="1:14" x14ac:dyDescent="0.25">
      <c r="A66" t="s">
        <v>177</v>
      </c>
      <c r="B66" s="10">
        <v>46224</v>
      </c>
      <c r="C66" t="str">
        <f t="shared" si="0"/>
        <v>July</v>
      </c>
      <c r="D66" t="s">
        <v>14</v>
      </c>
      <c r="E66" t="s">
        <v>15</v>
      </c>
      <c r="F66" t="s">
        <v>16</v>
      </c>
      <c r="G66" t="s">
        <v>42</v>
      </c>
      <c r="H66" t="s">
        <v>43</v>
      </c>
      <c r="I66" s="2">
        <v>14</v>
      </c>
      <c r="J66" s="2">
        <v>3500000</v>
      </c>
      <c r="K66" s="2">
        <v>49000000</v>
      </c>
      <c r="L66" s="3">
        <v>0</v>
      </c>
      <c r="M66" t="s">
        <v>77</v>
      </c>
      <c r="N66" t="s">
        <v>178</v>
      </c>
    </row>
    <row r="67" spans="1:14" x14ac:dyDescent="0.25">
      <c r="A67" t="s">
        <v>179</v>
      </c>
      <c r="B67" s="10">
        <v>46074</v>
      </c>
      <c r="C67" t="str">
        <f t="shared" ref="C67:C130" si="2">TEXT(B67, "MMMM")</f>
        <v>February</v>
      </c>
      <c r="D67" t="s">
        <v>62</v>
      </c>
      <c r="E67" t="s">
        <v>63</v>
      </c>
      <c r="F67" t="s">
        <v>64</v>
      </c>
      <c r="G67" t="s">
        <v>65</v>
      </c>
      <c r="H67" t="s">
        <v>66</v>
      </c>
      <c r="I67" s="2">
        <v>5</v>
      </c>
      <c r="J67" s="2">
        <v>4000000</v>
      </c>
      <c r="K67" s="2">
        <v>20000000</v>
      </c>
      <c r="L67" s="3">
        <v>0.05</v>
      </c>
      <c r="M67" t="s">
        <v>19</v>
      </c>
      <c r="N67" t="s">
        <v>180</v>
      </c>
    </row>
    <row r="68" spans="1:14" x14ac:dyDescent="0.25">
      <c r="A68" t="s">
        <v>181</v>
      </c>
      <c r="B68" s="10">
        <v>46191</v>
      </c>
      <c r="C68" t="str">
        <f t="shared" si="2"/>
        <v>June</v>
      </c>
      <c r="D68" t="s">
        <v>26</v>
      </c>
      <c r="E68" t="s">
        <v>27</v>
      </c>
      <c r="F68" t="s">
        <v>28</v>
      </c>
      <c r="G68" t="s">
        <v>42</v>
      </c>
      <c r="H68" t="s">
        <v>43</v>
      </c>
      <c r="I68" s="2">
        <v>6</v>
      </c>
      <c r="J68" s="2">
        <v>2500000</v>
      </c>
      <c r="K68" s="2">
        <v>15000000</v>
      </c>
      <c r="L68" s="3">
        <v>0.1</v>
      </c>
      <c r="M68" t="s">
        <v>19</v>
      </c>
      <c r="N68" t="s">
        <v>182</v>
      </c>
    </row>
    <row r="69" spans="1:14" x14ac:dyDescent="0.25">
      <c r="A69" t="s">
        <v>183</v>
      </c>
      <c r="B69" s="10">
        <v>46094</v>
      </c>
      <c r="C69" t="str">
        <f t="shared" si="2"/>
        <v>March</v>
      </c>
      <c r="D69" t="s">
        <v>46</v>
      </c>
      <c r="E69" t="s">
        <v>47</v>
      </c>
      <c r="F69" t="s">
        <v>48</v>
      </c>
      <c r="G69" t="s">
        <v>22</v>
      </c>
      <c r="H69" t="s">
        <v>23</v>
      </c>
      <c r="I69" s="2">
        <v>7</v>
      </c>
      <c r="J69" s="2">
        <v>750000</v>
      </c>
      <c r="K69" s="2">
        <v>5250000</v>
      </c>
      <c r="L69" s="3">
        <v>0.1</v>
      </c>
      <c r="M69" t="s">
        <v>19</v>
      </c>
      <c r="N69" t="s">
        <v>184</v>
      </c>
    </row>
    <row r="70" spans="1:14" x14ac:dyDescent="0.25">
      <c r="A70" t="s">
        <v>185</v>
      </c>
      <c r="B70" s="10">
        <v>46089</v>
      </c>
      <c r="C70" t="str">
        <f t="shared" si="2"/>
        <v>March</v>
      </c>
      <c r="D70" t="s">
        <v>39</v>
      </c>
      <c r="E70" t="s">
        <v>40</v>
      </c>
      <c r="F70" t="s">
        <v>41</v>
      </c>
      <c r="G70" t="s">
        <v>22</v>
      </c>
      <c r="H70" t="s">
        <v>23</v>
      </c>
      <c r="I70" s="2">
        <v>5</v>
      </c>
      <c r="J70" s="2">
        <v>12000000</v>
      </c>
      <c r="K70" s="2">
        <v>60000000</v>
      </c>
      <c r="L70" s="3">
        <v>0</v>
      </c>
      <c r="M70" t="s">
        <v>19</v>
      </c>
      <c r="N70" t="s">
        <v>186</v>
      </c>
    </row>
    <row r="71" spans="1:14" x14ac:dyDescent="0.25">
      <c r="A71" t="s">
        <v>187</v>
      </c>
      <c r="B71" s="10">
        <v>46134</v>
      </c>
      <c r="C71" t="str">
        <f t="shared" si="2"/>
        <v>April</v>
      </c>
      <c r="D71" t="s">
        <v>46</v>
      </c>
      <c r="E71" t="s">
        <v>47</v>
      </c>
      <c r="F71" t="s">
        <v>48</v>
      </c>
      <c r="G71" t="s">
        <v>65</v>
      </c>
      <c r="H71" t="s">
        <v>66</v>
      </c>
      <c r="I71" s="2">
        <v>7</v>
      </c>
      <c r="J71" s="2">
        <v>750000</v>
      </c>
      <c r="K71" s="2">
        <v>5250000</v>
      </c>
      <c r="L71" s="3">
        <v>0</v>
      </c>
      <c r="M71" t="s">
        <v>77</v>
      </c>
      <c r="N71" t="s">
        <v>188</v>
      </c>
    </row>
    <row r="72" spans="1:14" x14ac:dyDescent="0.25">
      <c r="A72" t="s">
        <v>189</v>
      </c>
      <c r="B72" s="10">
        <v>46071</v>
      </c>
      <c r="C72" t="str">
        <f t="shared" si="2"/>
        <v>February</v>
      </c>
      <c r="D72" t="s">
        <v>58</v>
      </c>
      <c r="E72" t="s">
        <v>59</v>
      </c>
      <c r="F72" t="s">
        <v>28</v>
      </c>
      <c r="G72" t="s">
        <v>17</v>
      </c>
      <c r="H72" t="s">
        <v>18</v>
      </c>
      <c r="I72" s="2">
        <v>12</v>
      </c>
      <c r="J72" s="2">
        <v>5500000</v>
      </c>
      <c r="K72" s="2">
        <v>66000000</v>
      </c>
      <c r="L72" s="3">
        <v>0.15</v>
      </c>
      <c r="M72" t="s">
        <v>19</v>
      </c>
      <c r="N72" t="s">
        <v>190</v>
      </c>
    </row>
    <row r="73" spans="1:14" x14ac:dyDescent="0.25">
      <c r="A73" t="s">
        <v>191</v>
      </c>
      <c r="B73" s="10">
        <v>46229</v>
      </c>
      <c r="C73" t="str">
        <f t="shared" si="2"/>
        <v>July</v>
      </c>
      <c r="D73" t="s">
        <v>26</v>
      </c>
      <c r="E73" t="s">
        <v>27</v>
      </c>
      <c r="F73" t="s">
        <v>28</v>
      </c>
      <c r="G73" t="s">
        <v>65</v>
      </c>
      <c r="H73" t="s">
        <v>66</v>
      </c>
      <c r="I73" s="2">
        <v>7</v>
      </c>
      <c r="J73" s="2">
        <v>2500000</v>
      </c>
      <c r="K73" s="2">
        <v>17500000</v>
      </c>
      <c r="L73" s="3">
        <v>0</v>
      </c>
      <c r="M73" t="s">
        <v>51</v>
      </c>
      <c r="N73" t="s">
        <v>192</v>
      </c>
    </row>
    <row r="74" spans="1:14" x14ac:dyDescent="0.25">
      <c r="A74" t="s">
        <v>193</v>
      </c>
      <c r="B74" s="10">
        <v>46182</v>
      </c>
      <c r="C74" t="str">
        <f t="shared" si="2"/>
        <v>June</v>
      </c>
      <c r="D74" t="s">
        <v>46</v>
      </c>
      <c r="E74" t="s">
        <v>47</v>
      </c>
      <c r="F74" t="s">
        <v>48</v>
      </c>
      <c r="G74" t="s">
        <v>17</v>
      </c>
      <c r="H74" t="s">
        <v>18</v>
      </c>
      <c r="I74" s="2">
        <v>12</v>
      </c>
      <c r="J74" s="2">
        <v>750000</v>
      </c>
      <c r="K74" s="2">
        <v>9000000</v>
      </c>
      <c r="L74" s="3">
        <v>0.1</v>
      </c>
      <c r="M74" t="s">
        <v>31</v>
      </c>
      <c r="N74" t="s">
        <v>194</v>
      </c>
    </row>
    <row r="75" spans="1:14" x14ac:dyDescent="0.25">
      <c r="A75" t="s">
        <v>195</v>
      </c>
      <c r="B75" s="10">
        <v>46193</v>
      </c>
      <c r="C75" t="str">
        <f t="shared" si="2"/>
        <v>June</v>
      </c>
      <c r="D75" t="s">
        <v>34</v>
      </c>
      <c r="E75" t="s">
        <v>35</v>
      </c>
      <c r="F75" t="s">
        <v>36</v>
      </c>
      <c r="G75" t="s">
        <v>65</v>
      </c>
      <c r="H75" t="s">
        <v>66</v>
      </c>
      <c r="I75" s="2">
        <v>7</v>
      </c>
      <c r="J75" s="2">
        <v>2000000</v>
      </c>
      <c r="K75" s="2">
        <v>14000000</v>
      </c>
      <c r="L75" s="3">
        <v>0.1</v>
      </c>
      <c r="M75" t="s">
        <v>31</v>
      </c>
      <c r="N75" t="s">
        <v>196</v>
      </c>
    </row>
    <row r="76" spans="1:14" x14ac:dyDescent="0.25">
      <c r="A76" t="s">
        <v>197</v>
      </c>
      <c r="B76" s="10">
        <v>46072</v>
      </c>
      <c r="C76" t="str">
        <f t="shared" si="2"/>
        <v>February</v>
      </c>
      <c r="D76" t="s">
        <v>34</v>
      </c>
      <c r="E76" t="s">
        <v>35</v>
      </c>
      <c r="F76" t="s">
        <v>36</v>
      </c>
      <c r="G76" t="s">
        <v>42</v>
      </c>
      <c r="H76" t="s">
        <v>43</v>
      </c>
      <c r="I76" s="2">
        <v>11</v>
      </c>
      <c r="J76" s="2">
        <v>2000000</v>
      </c>
      <c r="K76" s="2">
        <v>22000000</v>
      </c>
      <c r="L76" s="3">
        <v>0.05</v>
      </c>
      <c r="M76" t="s">
        <v>31</v>
      </c>
      <c r="N76" t="s">
        <v>198</v>
      </c>
    </row>
    <row r="77" spans="1:14" x14ac:dyDescent="0.25">
      <c r="A77" t="s">
        <v>199</v>
      </c>
      <c r="B77" s="10">
        <v>46100</v>
      </c>
      <c r="C77" t="str">
        <f t="shared" si="2"/>
        <v>March</v>
      </c>
      <c r="D77" t="s">
        <v>34</v>
      </c>
      <c r="E77" t="s">
        <v>35</v>
      </c>
      <c r="F77" t="s">
        <v>36</v>
      </c>
      <c r="G77" t="s">
        <v>22</v>
      </c>
      <c r="H77" t="s">
        <v>23</v>
      </c>
      <c r="I77" s="2">
        <v>14</v>
      </c>
      <c r="J77" s="2">
        <v>2000000</v>
      </c>
      <c r="K77" s="2">
        <v>28000000</v>
      </c>
      <c r="L77" s="3">
        <v>0</v>
      </c>
      <c r="M77" t="s">
        <v>19</v>
      </c>
      <c r="N77" t="s">
        <v>200</v>
      </c>
    </row>
    <row r="78" spans="1:14" x14ac:dyDescent="0.25">
      <c r="A78" t="s">
        <v>201</v>
      </c>
      <c r="B78" s="10">
        <v>46076</v>
      </c>
      <c r="C78" t="str">
        <f t="shared" si="2"/>
        <v>February</v>
      </c>
      <c r="D78" t="s">
        <v>34</v>
      </c>
      <c r="E78" t="s">
        <v>35</v>
      </c>
      <c r="F78" t="s">
        <v>36</v>
      </c>
      <c r="G78" t="s">
        <v>22</v>
      </c>
      <c r="H78" t="s">
        <v>23</v>
      </c>
      <c r="I78" s="2">
        <v>10</v>
      </c>
      <c r="J78" s="2">
        <v>2000000</v>
      </c>
      <c r="K78" s="2">
        <v>20000000</v>
      </c>
      <c r="L78" s="3">
        <v>0.1</v>
      </c>
      <c r="M78" t="s">
        <v>77</v>
      </c>
      <c r="N78" t="s">
        <v>202</v>
      </c>
    </row>
    <row r="79" spans="1:14" x14ac:dyDescent="0.25">
      <c r="A79" t="s">
        <v>203</v>
      </c>
      <c r="B79" s="10">
        <v>46136</v>
      </c>
      <c r="C79" t="str">
        <f t="shared" si="2"/>
        <v>April</v>
      </c>
      <c r="D79" t="s">
        <v>26</v>
      </c>
      <c r="E79" t="s">
        <v>27</v>
      </c>
      <c r="F79" t="s">
        <v>28</v>
      </c>
      <c r="G79" t="s">
        <v>22</v>
      </c>
      <c r="H79" t="s">
        <v>23</v>
      </c>
      <c r="I79" s="2">
        <v>8</v>
      </c>
      <c r="J79" s="2">
        <v>2500000</v>
      </c>
      <c r="K79" s="2">
        <v>20000000</v>
      </c>
      <c r="L79" s="3">
        <v>0.05</v>
      </c>
      <c r="M79" t="s">
        <v>51</v>
      </c>
      <c r="N79" t="s">
        <v>204</v>
      </c>
    </row>
    <row r="80" spans="1:14" x14ac:dyDescent="0.25">
      <c r="A80" t="s">
        <v>205</v>
      </c>
      <c r="B80" s="10">
        <v>46095</v>
      </c>
      <c r="C80" t="str">
        <f t="shared" si="2"/>
        <v>March</v>
      </c>
      <c r="D80" t="s">
        <v>46</v>
      </c>
      <c r="E80" t="s">
        <v>47</v>
      </c>
      <c r="F80" t="s">
        <v>48</v>
      </c>
      <c r="G80" t="s">
        <v>17</v>
      </c>
      <c r="H80" t="s">
        <v>18</v>
      </c>
      <c r="I80" s="2">
        <v>14</v>
      </c>
      <c r="J80" s="2">
        <v>750000</v>
      </c>
      <c r="K80" s="2">
        <v>10500000</v>
      </c>
      <c r="L80" s="3">
        <v>0.05</v>
      </c>
      <c r="M80" t="s">
        <v>51</v>
      </c>
      <c r="N80" t="s">
        <v>206</v>
      </c>
    </row>
    <row r="81" spans="1:14" x14ac:dyDescent="0.25">
      <c r="A81" t="s">
        <v>207</v>
      </c>
      <c r="B81" s="10">
        <v>46080</v>
      </c>
      <c r="C81" t="str">
        <f t="shared" si="2"/>
        <v>February</v>
      </c>
      <c r="D81" t="s">
        <v>26</v>
      </c>
      <c r="E81" t="s">
        <v>27</v>
      </c>
      <c r="F81" t="s">
        <v>28</v>
      </c>
      <c r="G81" t="s">
        <v>29</v>
      </c>
      <c r="H81" t="s">
        <v>30</v>
      </c>
      <c r="I81" s="2">
        <v>1</v>
      </c>
      <c r="J81" s="2">
        <v>2500000</v>
      </c>
      <c r="K81" s="2">
        <v>2500000</v>
      </c>
      <c r="L81" s="3">
        <v>0</v>
      </c>
      <c r="M81" t="s">
        <v>19</v>
      </c>
      <c r="N81" t="s">
        <v>208</v>
      </c>
    </row>
    <row r="82" spans="1:14" x14ac:dyDescent="0.25">
      <c r="A82" t="s">
        <v>209</v>
      </c>
      <c r="B82" s="10">
        <v>46179</v>
      </c>
      <c r="C82" t="str">
        <f t="shared" si="2"/>
        <v>June</v>
      </c>
      <c r="D82" t="s">
        <v>14</v>
      </c>
      <c r="E82" t="s">
        <v>15</v>
      </c>
      <c r="F82" t="s">
        <v>16</v>
      </c>
      <c r="G82" t="s">
        <v>42</v>
      </c>
      <c r="H82" t="s">
        <v>43</v>
      </c>
      <c r="I82" s="2">
        <v>7</v>
      </c>
      <c r="J82" s="2">
        <v>3500000</v>
      </c>
      <c r="K82" s="2">
        <v>24500000</v>
      </c>
      <c r="L82" s="3">
        <v>0.05</v>
      </c>
      <c r="M82" t="s">
        <v>51</v>
      </c>
      <c r="N82" t="s">
        <v>210</v>
      </c>
    </row>
    <row r="83" spans="1:14" x14ac:dyDescent="0.25">
      <c r="A83" t="s">
        <v>211</v>
      </c>
      <c r="B83" s="10">
        <v>46121</v>
      </c>
      <c r="C83" t="str">
        <f t="shared" si="2"/>
        <v>April</v>
      </c>
      <c r="D83" t="s">
        <v>62</v>
      </c>
      <c r="E83" t="s">
        <v>63</v>
      </c>
      <c r="F83" t="s">
        <v>64</v>
      </c>
      <c r="G83" t="s">
        <v>42</v>
      </c>
      <c r="H83" t="s">
        <v>43</v>
      </c>
      <c r="I83" s="2">
        <v>4</v>
      </c>
      <c r="J83" s="2">
        <v>4000000</v>
      </c>
      <c r="K83" s="2">
        <v>16000000</v>
      </c>
      <c r="L83" s="3">
        <v>0.05</v>
      </c>
      <c r="M83" t="s">
        <v>51</v>
      </c>
      <c r="N83" t="s">
        <v>212</v>
      </c>
    </row>
    <row r="84" spans="1:14" x14ac:dyDescent="0.25">
      <c r="A84" t="s">
        <v>213</v>
      </c>
      <c r="B84" s="10">
        <v>46024</v>
      </c>
      <c r="C84" t="str">
        <f t="shared" si="2"/>
        <v>January</v>
      </c>
      <c r="D84" t="s">
        <v>14</v>
      </c>
      <c r="E84" t="s">
        <v>15</v>
      </c>
      <c r="F84" t="s">
        <v>16</v>
      </c>
      <c r="G84" t="s">
        <v>42</v>
      </c>
      <c r="H84" t="s">
        <v>43</v>
      </c>
      <c r="I84" s="2">
        <v>4</v>
      </c>
      <c r="J84" s="2">
        <v>3500000</v>
      </c>
      <c r="K84" s="2">
        <v>14000000</v>
      </c>
      <c r="L84" s="3">
        <v>0.05</v>
      </c>
      <c r="M84" t="s">
        <v>51</v>
      </c>
      <c r="N84" t="s">
        <v>214</v>
      </c>
    </row>
    <row r="85" spans="1:14" x14ac:dyDescent="0.25">
      <c r="A85" t="s">
        <v>215</v>
      </c>
      <c r="B85" s="10">
        <v>46141</v>
      </c>
      <c r="C85" t="str">
        <f t="shared" si="2"/>
        <v>April</v>
      </c>
      <c r="D85" t="s">
        <v>92</v>
      </c>
      <c r="E85" t="s">
        <v>93</v>
      </c>
      <c r="F85" t="s">
        <v>16</v>
      </c>
      <c r="G85" t="s">
        <v>22</v>
      </c>
      <c r="H85" t="s">
        <v>23</v>
      </c>
      <c r="I85" s="2">
        <v>4</v>
      </c>
      <c r="J85" s="2">
        <v>1500000</v>
      </c>
      <c r="K85" s="2">
        <v>6000000</v>
      </c>
      <c r="L85" s="3">
        <v>0</v>
      </c>
      <c r="M85" t="s">
        <v>77</v>
      </c>
      <c r="N85" t="s">
        <v>216</v>
      </c>
    </row>
    <row r="86" spans="1:14" x14ac:dyDescent="0.25">
      <c r="A86" t="s">
        <v>217</v>
      </c>
      <c r="B86" s="10">
        <v>46228</v>
      </c>
      <c r="C86" t="str">
        <f t="shared" si="2"/>
        <v>July</v>
      </c>
      <c r="D86" t="s">
        <v>62</v>
      </c>
      <c r="E86" t="s">
        <v>63</v>
      </c>
      <c r="F86" t="s">
        <v>64</v>
      </c>
      <c r="G86" t="s">
        <v>22</v>
      </c>
      <c r="H86" t="s">
        <v>23</v>
      </c>
      <c r="I86" s="2">
        <v>9</v>
      </c>
      <c r="J86" s="2">
        <v>4000000</v>
      </c>
      <c r="K86" s="2">
        <v>36000000</v>
      </c>
      <c r="L86" s="3">
        <v>0.1</v>
      </c>
      <c r="M86" t="s">
        <v>77</v>
      </c>
      <c r="N86" t="s">
        <v>218</v>
      </c>
    </row>
    <row r="87" spans="1:14" x14ac:dyDescent="0.25">
      <c r="A87" t="s">
        <v>219</v>
      </c>
      <c r="B87" s="10">
        <v>46231</v>
      </c>
      <c r="C87" t="str">
        <f t="shared" si="2"/>
        <v>July</v>
      </c>
      <c r="D87" t="s">
        <v>34</v>
      </c>
      <c r="E87" t="s">
        <v>35</v>
      </c>
      <c r="F87" t="s">
        <v>36</v>
      </c>
      <c r="G87" t="s">
        <v>22</v>
      </c>
      <c r="H87" t="s">
        <v>23</v>
      </c>
      <c r="I87" s="2">
        <v>8</v>
      </c>
      <c r="J87" s="2">
        <v>2000000</v>
      </c>
      <c r="K87" s="2">
        <v>16000000</v>
      </c>
      <c r="L87" s="3">
        <v>0.05</v>
      </c>
      <c r="M87" t="s">
        <v>51</v>
      </c>
      <c r="N87" t="s">
        <v>220</v>
      </c>
    </row>
    <row r="88" spans="1:14" x14ac:dyDescent="0.25">
      <c r="A88" t="s">
        <v>221</v>
      </c>
      <c r="B88" s="10">
        <v>46144</v>
      </c>
      <c r="C88" t="str">
        <f t="shared" si="2"/>
        <v>May</v>
      </c>
      <c r="D88" t="s">
        <v>62</v>
      </c>
      <c r="E88" t="s">
        <v>63</v>
      </c>
      <c r="F88" t="s">
        <v>64</v>
      </c>
      <c r="G88" t="s">
        <v>65</v>
      </c>
      <c r="H88" t="s">
        <v>66</v>
      </c>
      <c r="I88" s="2">
        <v>13</v>
      </c>
      <c r="J88" s="2">
        <v>4000000</v>
      </c>
      <c r="K88" s="2">
        <v>52000000</v>
      </c>
      <c r="L88" s="3">
        <v>0.05</v>
      </c>
      <c r="M88" t="s">
        <v>51</v>
      </c>
      <c r="N88" t="s">
        <v>222</v>
      </c>
    </row>
    <row r="89" spans="1:14" x14ac:dyDescent="0.25">
      <c r="A89" t="s">
        <v>223</v>
      </c>
      <c r="B89" s="10">
        <v>46219</v>
      </c>
      <c r="C89" t="str">
        <f t="shared" si="2"/>
        <v>July</v>
      </c>
      <c r="D89" t="s">
        <v>62</v>
      </c>
      <c r="E89" t="s">
        <v>63</v>
      </c>
      <c r="F89" t="s">
        <v>64</v>
      </c>
      <c r="G89" t="s">
        <v>29</v>
      </c>
      <c r="H89" t="s">
        <v>30</v>
      </c>
      <c r="I89" s="2">
        <v>5</v>
      </c>
      <c r="J89" s="2">
        <v>4000000</v>
      </c>
      <c r="K89" s="2">
        <v>20000000</v>
      </c>
      <c r="L89" s="3">
        <v>0.15</v>
      </c>
      <c r="M89" t="s">
        <v>19</v>
      </c>
      <c r="N89" t="s">
        <v>224</v>
      </c>
    </row>
    <row r="90" spans="1:14" x14ac:dyDescent="0.25">
      <c r="A90" t="s">
        <v>225</v>
      </c>
      <c r="B90" s="10">
        <v>46096</v>
      </c>
      <c r="C90" t="str">
        <f t="shared" si="2"/>
        <v>March</v>
      </c>
      <c r="D90" t="s">
        <v>26</v>
      </c>
      <c r="E90" t="s">
        <v>27</v>
      </c>
      <c r="F90" t="s">
        <v>28</v>
      </c>
      <c r="G90" t="s">
        <v>65</v>
      </c>
      <c r="H90" t="s">
        <v>66</v>
      </c>
      <c r="I90" s="2">
        <v>6</v>
      </c>
      <c r="J90" s="2">
        <v>2500000</v>
      </c>
      <c r="K90" s="2">
        <v>15000000</v>
      </c>
      <c r="L90" s="3">
        <v>0.1</v>
      </c>
      <c r="M90" t="s">
        <v>31</v>
      </c>
      <c r="N90" t="s">
        <v>226</v>
      </c>
    </row>
    <row r="91" spans="1:14" x14ac:dyDescent="0.25">
      <c r="A91" t="s">
        <v>227</v>
      </c>
      <c r="B91" s="10">
        <v>46058</v>
      </c>
      <c r="C91" t="str">
        <f t="shared" si="2"/>
        <v>February</v>
      </c>
      <c r="D91" t="s">
        <v>39</v>
      </c>
      <c r="E91" t="s">
        <v>40</v>
      </c>
      <c r="F91" t="s">
        <v>41</v>
      </c>
      <c r="G91" t="s">
        <v>29</v>
      </c>
      <c r="H91" t="s">
        <v>30</v>
      </c>
      <c r="I91" s="2">
        <v>7</v>
      </c>
      <c r="J91" s="2">
        <v>12000000</v>
      </c>
      <c r="K91" s="2">
        <v>84000000</v>
      </c>
      <c r="L91" s="3">
        <v>0.05</v>
      </c>
      <c r="M91" t="s">
        <v>51</v>
      </c>
      <c r="N91" t="s">
        <v>228</v>
      </c>
    </row>
    <row r="92" spans="1:14" x14ac:dyDescent="0.25">
      <c r="A92" t="s">
        <v>229</v>
      </c>
      <c r="B92" s="10">
        <v>46039</v>
      </c>
      <c r="C92" t="str">
        <f t="shared" si="2"/>
        <v>January</v>
      </c>
      <c r="D92" t="s">
        <v>34</v>
      </c>
      <c r="E92" t="s">
        <v>35</v>
      </c>
      <c r="F92" t="s">
        <v>36</v>
      </c>
      <c r="G92" t="s">
        <v>42</v>
      </c>
      <c r="H92" t="s">
        <v>43</v>
      </c>
      <c r="I92" s="2">
        <v>6</v>
      </c>
      <c r="J92" s="2">
        <v>2000000</v>
      </c>
      <c r="K92" s="2">
        <v>12000000</v>
      </c>
      <c r="L92" s="3">
        <v>0.15</v>
      </c>
      <c r="M92" t="s">
        <v>77</v>
      </c>
      <c r="N92" t="s">
        <v>230</v>
      </c>
    </row>
    <row r="93" spans="1:14" x14ac:dyDescent="0.25">
      <c r="A93" t="s">
        <v>231</v>
      </c>
      <c r="B93" s="10">
        <v>46075</v>
      </c>
      <c r="C93" t="str">
        <f t="shared" si="2"/>
        <v>February</v>
      </c>
      <c r="D93" t="s">
        <v>34</v>
      </c>
      <c r="E93" t="s">
        <v>35</v>
      </c>
      <c r="F93" t="s">
        <v>36</v>
      </c>
      <c r="G93" t="s">
        <v>42</v>
      </c>
      <c r="H93" t="s">
        <v>43</v>
      </c>
      <c r="I93" s="2">
        <v>15</v>
      </c>
      <c r="J93" s="2">
        <v>2000000</v>
      </c>
      <c r="K93" s="2">
        <v>30000000</v>
      </c>
      <c r="L93" s="3">
        <v>0</v>
      </c>
      <c r="M93" t="s">
        <v>31</v>
      </c>
      <c r="N93" t="s">
        <v>232</v>
      </c>
    </row>
    <row r="94" spans="1:14" x14ac:dyDescent="0.25">
      <c r="A94" t="s">
        <v>233</v>
      </c>
      <c r="B94" s="10">
        <v>46145</v>
      </c>
      <c r="C94" t="str">
        <f t="shared" si="2"/>
        <v>May</v>
      </c>
      <c r="D94" t="s">
        <v>92</v>
      </c>
      <c r="E94" t="s">
        <v>93</v>
      </c>
      <c r="F94" t="s">
        <v>16</v>
      </c>
      <c r="G94" t="s">
        <v>65</v>
      </c>
      <c r="H94" t="s">
        <v>66</v>
      </c>
      <c r="I94" s="2">
        <v>5</v>
      </c>
      <c r="J94" s="2">
        <v>1500000</v>
      </c>
      <c r="K94" s="2">
        <v>7500000</v>
      </c>
      <c r="L94" s="3">
        <v>0.15</v>
      </c>
      <c r="M94" t="s">
        <v>77</v>
      </c>
      <c r="N94" t="s">
        <v>234</v>
      </c>
    </row>
    <row r="95" spans="1:14" x14ac:dyDescent="0.25">
      <c r="A95" t="s">
        <v>235</v>
      </c>
      <c r="B95" s="10">
        <v>46214</v>
      </c>
      <c r="C95" t="str">
        <f t="shared" si="2"/>
        <v>July</v>
      </c>
      <c r="D95" t="s">
        <v>26</v>
      </c>
      <c r="E95" t="s">
        <v>27</v>
      </c>
      <c r="F95" t="s">
        <v>28</v>
      </c>
      <c r="G95" t="s">
        <v>42</v>
      </c>
      <c r="H95" t="s">
        <v>43</v>
      </c>
      <c r="I95" s="2">
        <v>4</v>
      </c>
      <c r="J95" s="2">
        <v>2500000</v>
      </c>
      <c r="K95" s="2">
        <v>10000000</v>
      </c>
      <c r="L95" s="3">
        <v>0.1</v>
      </c>
      <c r="M95" t="s">
        <v>77</v>
      </c>
      <c r="N95" t="s">
        <v>236</v>
      </c>
    </row>
    <row r="96" spans="1:14" x14ac:dyDescent="0.25">
      <c r="A96" t="s">
        <v>237</v>
      </c>
      <c r="B96" s="10">
        <v>46030</v>
      </c>
      <c r="C96" t="str">
        <f t="shared" si="2"/>
        <v>January</v>
      </c>
      <c r="D96" t="s">
        <v>34</v>
      </c>
      <c r="E96" t="s">
        <v>35</v>
      </c>
      <c r="F96" t="s">
        <v>36</v>
      </c>
      <c r="G96" t="s">
        <v>65</v>
      </c>
      <c r="H96" t="s">
        <v>66</v>
      </c>
      <c r="I96" s="2">
        <v>11</v>
      </c>
      <c r="J96" s="2">
        <v>2000000</v>
      </c>
      <c r="K96" s="2">
        <v>22000000</v>
      </c>
      <c r="L96" s="3">
        <v>0.15</v>
      </c>
      <c r="M96" t="s">
        <v>51</v>
      </c>
      <c r="N96" t="s">
        <v>238</v>
      </c>
    </row>
    <row r="97" spans="1:14" x14ac:dyDescent="0.25">
      <c r="A97" t="s">
        <v>239</v>
      </c>
      <c r="B97" s="10">
        <v>46238</v>
      </c>
      <c r="C97" t="str">
        <f t="shared" si="2"/>
        <v>August</v>
      </c>
      <c r="D97" t="s">
        <v>62</v>
      </c>
      <c r="E97" t="s">
        <v>63</v>
      </c>
      <c r="F97" t="s">
        <v>64</v>
      </c>
      <c r="G97" t="s">
        <v>29</v>
      </c>
      <c r="H97" t="s">
        <v>30</v>
      </c>
      <c r="I97" s="2">
        <v>10</v>
      </c>
      <c r="J97" s="2">
        <v>4000000</v>
      </c>
      <c r="K97" s="2">
        <v>40000000</v>
      </c>
      <c r="L97" s="3">
        <v>0</v>
      </c>
      <c r="M97" t="s">
        <v>77</v>
      </c>
      <c r="N97" t="s">
        <v>240</v>
      </c>
    </row>
    <row r="98" spans="1:14" x14ac:dyDescent="0.25">
      <c r="A98" t="s">
        <v>241</v>
      </c>
      <c r="B98" s="10">
        <v>46167</v>
      </c>
      <c r="C98" t="str">
        <f t="shared" si="2"/>
        <v>May</v>
      </c>
      <c r="D98" t="s">
        <v>92</v>
      </c>
      <c r="E98" t="s">
        <v>93</v>
      </c>
      <c r="F98" t="s">
        <v>16</v>
      </c>
      <c r="G98" t="s">
        <v>17</v>
      </c>
      <c r="H98" t="s">
        <v>18</v>
      </c>
      <c r="I98" s="2">
        <v>11</v>
      </c>
      <c r="J98" s="2">
        <v>1500000</v>
      </c>
      <c r="K98" s="2">
        <v>16500000</v>
      </c>
      <c r="L98" s="3">
        <v>0.15</v>
      </c>
      <c r="M98" t="s">
        <v>19</v>
      </c>
      <c r="N98" t="s">
        <v>242</v>
      </c>
    </row>
    <row r="99" spans="1:14" x14ac:dyDescent="0.25">
      <c r="A99" t="s">
        <v>243</v>
      </c>
      <c r="B99" s="10">
        <v>46141</v>
      </c>
      <c r="C99" t="str">
        <f t="shared" si="2"/>
        <v>April</v>
      </c>
      <c r="D99" t="s">
        <v>39</v>
      </c>
      <c r="E99" t="s">
        <v>40</v>
      </c>
      <c r="F99" t="s">
        <v>41</v>
      </c>
      <c r="G99" t="s">
        <v>17</v>
      </c>
      <c r="H99" t="s">
        <v>18</v>
      </c>
      <c r="I99" s="2">
        <v>5</v>
      </c>
      <c r="J99" s="2">
        <v>12000000</v>
      </c>
      <c r="K99" s="2">
        <v>60000000</v>
      </c>
      <c r="L99" s="3">
        <v>0.15</v>
      </c>
      <c r="M99" t="s">
        <v>19</v>
      </c>
      <c r="N99" t="s">
        <v>244</v>
      </c>
    </row>
    <row r="100" spans="1:14" x14ac:dyDescent="0.25">
      <c r="A100" t="s">
        <v>245</v>
      </c>
      <c r="B100" s="10">
        <v>46139</v>
      </c>
      <c r="C100" t="str">
        <f t="shared" si="2"/>
        <v>April</v>
      </c>
      <c r="D100" t="s">
        <v>46</v>
      </c>
      <c r="E100" t="s">
        <v>47</v>
      </c>
      <c r="F100" t="s">
        <v>48</v>
      </c>
      <c r="G100" t="s">
        <v>65</v>
      </c>
      <c r="H100" t="s">
        <v>66</v>
      </c>
      <c r="I100" s="2">
        <v>13</v>
      </c>
      <c r="J100" s="2">
        <v>750000</v>
      </c>
      <c r="K100" s="2">
        <v>9750000</v>
      </c>
      <c r="L100" s="3">
        <v>0.15</v>
      </c>
      <c r="M100" t="s">
        <v>19</v>
      </c>
      <c r="N100" t="s">
        <v>246</v>
      </c>
    </row>
    <row r="101" spans="1:14" x14ac:dyDescent="0.25">
      <c r="A101" t="s">
        <v>247</v>
      </c>
      <c r="B101" s="10">
        <v>46235</v>
      </c>
      <c r="C101" t="str">
        <f t="shared" si="2"/>
        <v>August</v>
      </c>
      <c r="D101" t="s">
        <v>34</v>
      </c>
      <c r="E101" t="s">
        <v>35</v>
      </c>
      <c r="F101" t="s">
        <v>36</v>
      </c>
      <c r="G101" t="s">
        <v>65</v>
      </c>
      <c r="H101" t="s">
        <v>66</v>
      </c>
      <c r="I101" s="2">
        <v>14</v>
      </c>
      <c r="J101" s="2">
        <v>2000000</v>
      </c>
      <c r="K101" s="2">
        <v>28000000</v>
      </c>
      <c r="L101" s="3">
        <v>0</v>
      </c>
      <c r="M101" t="s">
        <v>77</v>
      </c>
      <c r="N101" t="s">
        <v>248</v>
      </c>
    </row>
    <row r="102" spans="1:14" x14ac:dyDescent="0.25">
      <c r="A102" t="s">
        <v>249</v>
      </c>
      <c r="B102" s="10">
        <v>46214</v>
      </c>
      <c r="C102" t="str">
        <f t="shared" si="2"/>
        <v>July</v>
      </c>
      <c r="D102" t="s">
        <v>92</v>
      </c>
      <c r="E102" t="s">
        <v>93</v>
      </c>
      <c r="F102" t="s">
        <v>16</v>
      </c>
      <c r="G102" t="s">
        <v>65</v>
      </c>
      <c r="H102" t="s">
        <v>66</v>
      </c>
      <c r="I102" s="2">
        <v>4</v>
      </c>
      <c r="J102" s="2">
        <v>1500000</v>
      </c>
      <c r="K102" s="2">
        <v>6000000</v>
      </c>
      <c r="L102" s="3">
        <v>0</v>
      </c>
      <c r="M102" t="s">
        <v>51</v>
      </c>
      <c r="N102" t="s">
        <v>250</v>
      </c>
    </row>
    <row r="103" spans="1:14" x14ac:dyDescent="0.25">
      <c r="A103" t="s">
        <v>251</v>
      </c>
      <c r="B103" s="10">
        <v>46216</v>
      </c>
      <c r="C103" t="str">
        <f t="shared" si="2"/>
        <v>July</v>
      </c>
      <c r="D103" t="s">
        <v>92</v>
      </c>
      <c r="E103" t="s">
        <v>93</v>
      </c>
      <c r="F103" t="s">
        <v>16</v>
      </c>
      <c r="G103" t="s">
        <v>29</v>
      </c>
      <c r="H103" t="s">
        <v>30</v>
      </c>
      <c r="I103" s="2">
        <v>4</v>
      </c>
      <c r="J103" s="2">
        <v>1500000</v>
      </c>
      <c r="K103" s="2">
        <v>6000000</v>
      </c>
      <c r="L103" s="3">
        <v>0</v>
      </c>
      <c r="M103" t="s">
        <v>31</v>
      </c>
      <c r="N103" t="s">
        <v>252</v>
      </c>
    </row>
    <row r="104" spans="1:14" x14ac:dyDescent="0.25">
      <c r="A104" t="s">
        <v>253</v>
      </c>
      <c r="B104" s="10">
        <v>46084</v>
      </c>
      <c r="C104" t="str">
        <f t="shared" si="2"/>
        <v>March</v>
      </c>
      <c r="D104" t="s">
        <v>39</v>
      </c>
      <c r="E104" t="s">
        <v>40</v>
      </c>
      <c r="F104" t="s">
        <v>41</v>
      </c>
      <c r="G104" t="s">
        <v>42</v>
      </c>
      <c r="H104" t="s">
        <v>43</v>
      </c>
      <c r="I104" s="2">
        <v>11</v>
      </c>
      <c r="J104" s="2">
        <v>12000000</v>
      </c>
      <c r="K104" s="2">
        <v>132000000</v>
      </c>
      <c r="L104" s="3">
        <v>0</v>
      </c>
      <c r="M104" t="s">
        <v>31</v>
      </c>
      <c r="N104" t="s">
        <v>254</v>
      </c>
    </row>
    <row r="105" spans="1:14" x14ac:dyDescent="0.25">
      <c r="A105" t="s">
        <v>255</v>
      </c>
      <c r="B105" s="10">
        <v>46142</v>
      </c>
      <c r="C105" t="str">
        <f t="shared" si="2"/>
        <v>April</v>
      </c>
      <c r="D105" t="s">
        <v>58</v>
      </c>
      <c r="E105" t="s">
        <v>59</v>
      </c>
      <c r="F105" t="s">
        <v>28</v>
      </c>
      <c r="G105" t="s">
        <v>65</v>
      </c>
      <c r="H105" t="s">
        <v>66</v>
      </c>
      <c r="I105" s="2">
        <v>3</v>
      </c>
      <c r="J105" s="2">
        <v>5500000</v>
      </c>
      <c r="K105" s="2">
        <v>16500000</v>
      </c>
      <c r="L105" s="3">
        <v>0</v>
      </c>
      <c r="M105" t="s">
        <v>19</v>
      </c>
      <c r="N105" t="s">
        <v>256</v>
      </c>
    </row>
    <row r="106" spans="1:14" x14ac:dyDescent="0.25">
      <c r="A106" t="s">
        <v>257</v>
      </c>
      <c r="B106" s="10">
        <v>46050</v>
      </c>
      <c r="C106" t="str">
        <f t="shared" si="2"/>
        <v>January</v>
      </c>
      <c r="D106" t="s">
        <v>92</v>
      </c>
      <c r="E106" t="s">
        <v>93</v>
      </c>
      <c r="F106" t="s">
        <v>16</v>
      </c>
      <c r="G106" t="s">
        <v>65</v>
      </c>
      <c r="H106" t="s">
        <v>66</v>
      </c>
      <c r="I106" s="2">
        <v>10</v>
      </c>
      <c r="J106" s="2">
        <v>1500000</v>
      </c>
      <c r="K106" s="2">
        <v>15000000</v>
      </c>
      <c r="L106" s="3">
        <v>0.15</v>
      </c>
      <c r="M106" t="s">
        <v>77</v>
      </c>
      <c r="N106" t="s">
        <v>258</v>
      </c>
    </row>
    <row r="107" spans="1:14" x14ac:dyDescent="0.25">
      <c r="A107" t="s">
        <v>259</v>
      </c>
      <c r="B107" s="10">
        <v>46073</v>
      </c>
      <c r="C107" t="str">
        <f t="shared" si="2"/>
        <v>February</v>
      </c>
      <c r="D107" t="s">
        <v>14</v>
      </c>
      <c r="E107" t="s">
        <v>15</v>
      </c>
      <c r="F107" t="s">
        <v>16</v>
      </c>
      <c r="G107" t="s">
        <v>22</v>
      </c>
      <c r="H107" t="s">
        <v>23</v>
      </c>
      <c r="I107" s="2">
        <v>12</v>
      </c>
      <c r="J107" s="2">
        <v>3500000</v>
      </c>
      <c r="K107" s="2">
        <v>42000000</v>
      </c>
      <c r="L107" s="3">
        <v>0.05</v>
      </c>
      <c r="M107" t="s">
        <v>19</v>
      </c>
      <c r="N107" t="s">
        <v>260</v>
      </c>
    </row>
    <row r="108" spans="1:14" x14ac:dyDescent="0.25">
      <c r="A108" t="s">
        <v>261</v>
      </c>
      <c r="B108" s="10">
        <v>46220</v>
      </c>
      <c r="C108" t="str">
        <f t="shared" si="2"/>
        <v>July</v>
      </c>
      <c r="D108" t="s">
        <v>58</v>
      </c>
      <c r="E108" t="s">
        <v>59</v>
      </c>
      <c r="F108" t="s">
        <v>28</v>
      </c>
      <c r="G108" t="s">
        <v>22</v>
      </c>
      <c r="H108" t="s">
        <v>23</v>
      </c>
      <c r="I108" s="2">
        <v>13</v>
      </c>
      <c r="J108" s="2">
        <v>5500000</v>
      </c>
      <c r="K108" s="2">
        <v>71500000</v>
      </c>
      <c r="L108" s="3">
        <v>0</v>
      </c>
      <c r="M108" t="s">
        <v>31</v>
      </c>
      <c r="N108" t="s">
        <v>262</v>
      </c>
    </row>
    <row r="109" spans="1:14" x14ac:dyDescent="0.25">
      <c r="A109" t="s">
        <v>263</v>
      </c>
      <c r="B109" s="10">
        <v>46033</v>
      </c>
      <c r="C109" t="str">
        <f t="shared" si="2"/>
        <v>January</v>
      </c>
      <c r="D109" t="s">
        <v>46</v>
      </c>
      <c r="E109" t="s">
        <v>47</v>
      </c>
      <c r="F109" t="s">
        <v>48</v>
      </c>
      <c r="G109" t="s">
        <v>22</v>
      </c>
      <c r="H109" t="s">
        <v>23</v>
      </c>
      <c r="I109" s="2">
        <v>7</v>
      </c>
      <c r="J109" s="2">
        <v>750000</v>
      </c>
      <c r="K109" s="2">
        <v>5250000</v>
      </c>
      <c r="L109" s="3">
        <v>0.1</v>
      </c>
      <c r="M109" t="s">
        <v>19</v>
      </c>
      <c r="N109" t="s">
        <v>264</v>
      </c>
    </row>
    <row r="110" spans="1:14" x14ac:dyDescent="0.25">
      <c r="A110" t="s">
        <v>265</v>
      </c>
      <c r="B110" s="10">
        <v>46188</v>
      </c>
      <c r="C110" t="str">
        <f t="shared" si="2"/>
        <v>June</v>
      </c>
      <c r="D110" t="s">
        <v>46</v>
      </c>
      <c r="E110" t="s">
        <v>47</v>
      </c>
      <c r="F110" t="s">
        <v>48</v>
      </c>
      <c r="G110" t="s">
        <v>17</v>
      </c>
      <c r="H110" t="s">
        <v>18</v>
      </c>
      <c r="I110" s="2">
        <v>14</v>
      </c>
      <c r="J110" s="2">
        <v>750000</v>
      </c>
      <c r="K110" s="2">
        <v>10500000</v>
      </c>
      <c r="L110" s="3">
        <v>0.15</v>
      </c>
      <c r="M110" t="s">
        <v>77</v>
      </c>
      <c r="N110" t="s">
        <v>266</v>
      </c>
    </row>
    <row r="111" spans="1:14" x14ac:dyDescent="0.25">
      <c r="A111" t="s">
        <v>267</v>
      </c>
      <c r="B111" s="10">
        <v>46133</v>
      </c>
      <c r="C111" t="str">
        <f t="shared" si="2"/>
        <v>April</v>
      </c>
      <c r="D111" t="s">
        <v>46</v>
      </c>
      <c r="E111" t="s">
        <v>47</v>
      </c>
      <c r="F111" t="s">
        <v>48</v>
      </c>
      <c r="G111" t="s">
        <v>42</v>
      </c>
      <c r="H111" t="s">
        <v>43</v>
      </c>
      <c r="I111" s="2">
        <v>12</v>
      </c>
      <c r="J111" s="2">
        <v>750000</v>
      </c>
      <c r="K111" s="2">
        <v>9000000</v>
      </c>
      <c r="L111" s="3">
        <v>0.05</v>
      </c>
      <c r="M111" t="s">
        <v>77</v>
      </c>
      <c r="N111" t="s">
        <v>268</v>
      </c>
    </row>
    <row r="112" spans="1:14" x14ac:dyDescent="0.25">
      <c r="A112" t="s">
        <v>269</v>
      </c>
      <c r="B112" s="10">
        <v>46210</v>
      </c>
      <c r="C112" t="str">
        <f t="shared" si="2"/>
        <v>July</v>
      </c>
      <c r="D112" t="s">
        <v>58</v>
      </c>
      <c r="E112" t="s">
        <v>59</v>
      </c>
      <c r="F112" t="s">
        <v>28</v>
      </c>
      <c r="G112" t="s">
        <v>22</v>
      </c>
      <c r="H112" t="s">
        <v>23</v>
      </c>
      <c r="I112" s="2">
        <v>13</v>
      </c>
      <c r="J112" s="2">
        <v>5500000</v>
      </c>
      <c r="K112" s="2">
        <v>71500000</v>
      </c>
      <c r="L112" s="3">
        <v>0.15</v>
      </c>
      <c r="M112" t="s">
        <v>77</v>
      </c>
      <c r="N112" t="s">
        <v>270</v>
      </c>
    </row>
    <row r="113" spans="1:14" x14ac:dyDescent="0.25">
      <c r="A113" t="s">
        <v>271</v>
      </c>
      <c r="B113" s="10">
        <v>46234</v>
      </c>
      <c r="C113" t="str">
        <f t="shared" si="2"/>
        <v>July</v>
      </c>
      <c r="D113" t="s">
        <v>58</v>
      </c>
      <c r="E113" t="s">
        <v>59</v>
      </c>
      <c r="F113" t="s">
        <v>28</v>
      </c>
      <c r="G113" t="s">
        <v>65</v>
      </c>
      <c r="H113" t="s">
        <v>66</v>
      </c>
      <c r="I113" s="2">
        <v>14</v>
      </c>
      <c r="J113" s="2">
        <v>5500000</v>
      </c>
      <c r="K113" s="2">
        <v>77000000</v>
      </c>
      <c r="L113" s="3">
        <v>0.05</v>
      </c>
      <c r="M113" t="s">
        <v>19</v>
      </c>
      <c r="N113" t="s">
        <v>272</v>
      </c>
    </row>
    <row r="114" spans="1:14" x14ac:dyDescent="0.25">
      <c r="A114" t="s">
        <v>273</v>
      </c>
      <c r="B114" s="10">
        <v>46138</v>
      </c>
      <c r="C114" t="str">
        <f t="shared" si="2"/>
        <v>April</v>
      </c>
      <c r="D114" t="s">
        <v>26</v>
      </c>
      <c r="E114" t="s">
        <v>27</v>
      </c>
      <c r="F114" t="s">
        <v>28</v>
      </c>
      <c r="G114" t="s">
        <v>42</v>
      </c>
      <c r="H114" t="s">
        <v>43</v>
      </c>
      <c r="I114" s="2">
        <v>10</v>
      </c>
      <c r="J114" s="2">
        <v>2500000</v>
      </c>
      <c r="K114" s="2">
        <v>25000000</v>
      </c>
      <c r="L114" s="3">
        <v>0.15</v>
      </c>
      <c r="M114" t="s">
        <v>19</v>
      </c>
      <c r="N114" t="s">
        <v>274</v>
      </c>
    </row>
    <row r="115" spans="1:14" x14ac:dyDescent="0.25">
      <c r="A115" t="s">
        <v>275</v>
      </c>
      <c r="B115" s="10">
        <v>46149</v>
      </c>
      <c r="C115" t="str">
        <f t="shared" si="2"/>
        <v>May</v>
      </c>
      <c r="D115" t="s">
        <v>46</v>
      </c>
      <c r="E115" t="s">
        <v>47</v>
      </c>
      <c r="F115" t="s">
        <v>48</v>
      </c>
      <c r="G115" t="s">
        <v>29</v>
      </c>
      <c r="H115" t="s">
        <v>30</v>
      </c>
      <c r="I115" s="2">
        <v>8</v>
      </c>
      <c r="J115" s="2">
        <v>750000</v>
      </c>
      <c r="K115" s="2">
        <v>6000000</v>
      </c>
      <c r="L115" s="3">
        <v>0.05</v>
      </c>
      <c r="M115" t="s">
        <v>19</v>
      </c>
      <c r="N115" t="s">
        <v>276</v>
      </c>
    </row>
    <row r="116" spans="1:14" x14ac:dyDescent="0.25">
      <c r="A116" t="s">
        <v>277</v>
      </c>
      <c r="B116" s="10">
        <v>46089</v>
      </c>
      <c r="C116" t="str">
        <f t="shared" si="2"/>
        <v>March</v>
      </c>
      <c r="D116" t="s">
        <v>46</v>
      </c>
      <c r="E116" t="s">
        <v>47</v>
      </c>
      <c r="F116" t="s">
        <v>48</v>
      </c>
      <c r="G116" t="s">
        <v>65</v>
      </c>
      <c r="H116" t="s">
        <v>66</v>
      </c>
      <c r="I116" s="2">
        <v>15</v>
      </c>
      <c r="J116" s="2">
        <v>750000</v>
      </c>
      <c r="K116" s="2">
        <v>11250000</v>
      </c>
      <c r="L116" s="3">
        <v>0.1</v>
      </c>
      <c r="M116" t="s">
        <v>31</v>
      </c>
      <c r="N116" t="s">
        <v>278</v>
      </c>
    </row>
    <row r="117" spans="1:14" x14ac:dyDescent="0.25">
      <c r="A117" t="s">
        <v>279</v>
      </c>
      <c r="B117" s="10">
        <v>46155</v>
      </c>
      <c r="C117" t="str">
        <f t="shared" si="2"/>
        <v>May</v>
      </c>
      <c r="D117" t="s">
        <v>26</v>
      </c>
      <c r="E117" t="s">
        <v>27</v>
      </c>
      <c r="F117" t="s">
        <v>28</v>
      </c>
      <c r="G117" t="s">
        <v>17</v>
      </c>
      <c r="H117" t="s">
        <v>18</v>
      </c>
      <c r="I117" s="2">
        <v>4</v>
      </c>
      <c r="J117" s="2">
        <v>2500000</v>
      </c>
      <c r="K117" s="2">
        <v>10000000</v>
      </c>
      <c r="L117" s="3">
        <v>0.15</v>
      </c>
      <c r="M117" t="s">
        <v>77</v>
      </c>
      <c r="N117" t="s">
        <v>280</v>
      </c>
    </row>
    <row r="118" spans="1:14" x14ac:dyDescent="0.25">
      <c r="A118" t="s">
        <v>281</v>
      </c>
      <c r="B118" s="10">
        <v>46217</v>
      </c>
      <c r="C118" t="str">
        <f t="shared" si="2"/>
        <v>July</v>
      </c>
      <c r="D118" t="s">
        <v>26</v>
      </c>
      <c r="E118" t="s">
        <v>27</v>
      </c>
      <c r="F118" t="s">
        <v>28</v>
      </c>
      <c r="G118" t="s">
        <v>42</v>
      </c>
      <c r="H118" t="s">
        <v>43</v>
      </c>
      <c r="I118" s="2">
        <v>11</v>
      </c>
      <c r="J118" s="2">
        <v>2500000</v>
      </c>
      <c r="K118" s="2">
        <v>27500000</v>
      </c>
      <c r="L118" s="3">
        <v>0.15</v>
      </c>
      <c r="M118" t="s">
        <v>77</v>
      </c>
      <c r="N118" t="s">
        <v>282</v>
      </c>
    </row>
    <row r="119" spans="1:14" x14ac:dyDescent="0.25">
      <c r="A119" t="s">
        <v>283</v>
      </c>
      <c r="B119" s="10">
        <v>46027</v>
      </c>
      <c r="C119" t="str">
        <f t="shared" si="2"/>
        <v>January</v>
      </c>
      <c r="D119" t="s">
        <v>14</v>
      </c>
      <c r="E119" t="s">
        <v>15</v>
      </c>
      <c r="F119" t="s">
        <v>16</v>
      </c>
      <c r="G119" t="s">
        <v>65</v>
      </c>
      <c r="H119" t="s">
        <v>66</v>
      </c>
      <c r="I119" s="2">
        <v>4</v>
      </c>
      <c r="J119" s="2">
        <v>3500000</v>
      </c>
      <c r="K119" s="2">
        <v>14000000</v>
      </c>
      <c r="L119" s="3">
        <v>0.15</v>
      </c>
      <c r="M119" t="s">
        <v>51</v>
      </c>
      <c r="N119" t="s">
        <v>284</v>
      </c>
    </row>
    <row r="120" spans="1:14" x14ac:dyDescent="0.25">
      <c r="A120" t="s">
        <v>285</v>
      </c>
      <c r="B120" s="10">
        <v>46101</v>
      </c>
      <c r="C120" t="str">
        <f t="shared" si="2"/>
        <v>March</v>
      </c>
      <c r="D120" t="s">
        <v>46</v>
      </c>
      <c r="E120" t="s">
        <v>47</v>
      </c>
      <c r="F120" t="s">
        <v>48</v>
      </c>
      <c r="G120" t="s">
        <v>42</v>
      </c>
      <c r="H120" t="s">
        <v>43</v>
      </c>
      <c r="I120" s="2">
        <v>9</v>
      </c>
      <c r="J120" s="2">
        <v>750000</v>
      </c>
      <c r="K120" s="2">
        <v>6750000</v>
      </c>
      <c r="L120" s="3">
        <v>0.1</v>
      </c>
      <c r="M120" t="s">
        <v>77</v>
      </c>
      <c r="N120" t="s">
        <v>286</v>
      </c>
    </row>
    <row r="121" spans="1:14" x14ac:dyDescent="0.25">
      <c r="A121" t="s">
        <v>287</v>
      </c>
      <c r="B121" s="10">
        <v>46163</v>
      </c>
      <c r="C121" t="str">
        <f t="shared" si="2"/>
        <v>May</v>
      </c>
      <c r="D121" t="s">
        <v>46</v>
      </c>
      <c r="E121" t="s">
        <v>47</v>
      </c>
      <c r="F121" t="s">
        <v>48</v>
      </c>
      <c r="G121" t="s">
        <v>65</v>
      </c>
      <c r="H121" t="s">
        <v>66</v>
      </c>
      <c r="I121" s="2">
        <v>12</v>
      </c>
      <c r="J121" s="2">
        <v>750000</v>
      </c>
      <c r="K121" s="2">
        <v>9000000</v>
      </c>
      <c r="L121" s="3">
        <v>0.15</v>
      </c>
      <c r="M121" t="s">
        <v>19</v>
      </c>
      <c r="N121" t="s">
        <v>288</v>
      </c>
    </row>
    <row r="122" spans="1:14" x14ac:dyDescent="0.25">
      <c r="A122" t="s">
        <v>289</v>
      </c>
      <c r="B122" s="10">
        <v>46087</v>
      </c>
      <c r="C122" t="str">
        <f t="shared" si="2"/>
        <v>March</v>
      </c>
      <c r="D122" t="s">
        <v>26</v>
      </c>
      <c r="E122" t="s">
        <v>27</v>
      </c>
      <c r="F122" t="s">
        <v>28</v>
      </c>
      <c r="G122" t="s">
        <v>17</v>
      </c>
      <c r="H122" t="s">
        <v>18</v>
      </c>
      <c r="I122" s="2">
        <v>12</v>
      </c>
      <c r="J122" s="2">
        <v>2500000</v>
      </c>
      <c r="K122" s="2">
        <v>30000000</v>
      </c>
      <c r="L122" s="3">
        <v>0.05</v>
      </c>
      <c r="M122" t="s">
        <v>19</v>
      </c>
      <c r="N122" t="s">
        <v>290</v>
      </c>
    </row>
    <row r="123" spans="1:14" x14ac:dyDescent="0.25">
      <c r="A123" t="s">
        <v>291</v>
      </c>
      <c r="B123" s="10">
        <v>46213</v>
      </c>
      <c r="C123" t="str">
        <f t="shared" si="2"/>
        <v>July</v>
      </c>
      <c r="D123" t="s">
        <v>39</v>
      </c>
      <c r="E123" t="s">
        <v>40</v>
      </c>
      <c r="F123" t="s">
        <v>41</v>
      </c>
      <c r="G123" t="s">
        <v>29</v>
      </c>
      <c r="H123" t="s">
        <v>30</v>
      </c>
      <c r="I123" s="2">
        <v>4</v>
      </c>
      <c r="J123" s="2">
        <v>12000000</v>
      </c>
      <c r="K123" s="2">
        <v>48000000</v>
      </c>
      <c r="L123" s="3">
        <v>0.15</v>
      </c>
      <c r="M123" t="s">
        <v>19</v>
      </c>
      <c r="N123" t="s">
        <v>292</v>
      </c>
    </row>
    <row r="124" spans="1:14" x14ac:dyDescent="0.25">
      <c r="A124" t="s">
        <v>293</v>
      </c>
      <c r="B124" s="10">
        <v>46173</v>
      </c>
      <c r="C124" t="str">
        <f t="shared" si="2"/>
        <v>May</v>
      </c>
      <c r="D124" t="s">
        <v>58</v>
      </c>
      <c r="E124" t="s">
        <v>59</v>
      </c>
      <c r="F124" t="s">
        <v>28</v>
      </c>
      <c r="G124" t="s">
        <v>17</v>
      </c>
      <c r="H124" t="s">
        <v>18</v>
      </c>
      <c r="I124" s="2">
        <v>14</v>
      </c>
      <c r="J124" s="2">
        <v>5500000</v>
      </c>
      <c r="K124" s="2">
        <v>77000000</v>
      </c>
      <c r="L124" s="3">
        <v>0.05</v>
      </c>
      <c r="M124" t="s">
        <v>19</v>
      </c>
      <c r="N124" t="s">
        <v>294</v>
      </c>
    </row>
    <row r="125" spans="1:14" x14ac:dyDescent="0.25">
      <c r="A125" t="s">
        <v>295</v>
      </c>
      <c r="B125" s="10">
        <v>46115</v>
      </c>
      <c r="C125" t="str">
        <f t="shared" si="2"/>
        <v>April</v>
      </c>
      <c r="D125" t="s">
        <v>39</v>
      </c>
      <c r="E125" t="s">
        <v>40</v>
      </c>
      <c r="F125" t="s">
        <v>41</v>
      </c>
      <c r="G125" t="s">
        <v>65</v>
      </c>
      <c r="H125" t="s">
        <v>66</v>
      </c>
      <c r="I125" s="2">
        <v>1</v>
      </c>
      <c r="J125" s="2">
        <v>12000000</v>
      </c>
      <c r="K125" s="2">
        <v>12000000</v>
      </c>
      <c r="L125" s="3">
        <v>0.05</v>
      </c>
      <c r="M125" t="s">
        <v>19</v>
      </c>
      <c r="N125" t="s">
        <v>296</v>
      </c>
    </row>
    <row r="126" spans="1:14" x14ac:dyDescent="0.25">
      <c r="A126" t="s">
        <v>297</v>
      </c>
      <c r="B126" s="10">
        <v>46036</v>
      </c>
      <c r="C126" t="str">
        <f t="shared" si="2"/>
        <v>January</v>
      </c>
      <c r="D126" t="s">
        <v>58</v>
      </c>
      <c r="E126" t="s">
        <v>59</v>
      </c>
      <c r="F126" t="s">
        <v>28</v>
      </c>
      <c r="G126" t="s">
        <v>29</v>
      </c>
      <c r="H126" t="s">
        <v>30</v>
      </c>
      <c r="I126" s="2">
        <v>11</v>
      </c>
      <c r="J126" s="2">
        <v>5500000</v>
      </c>
      <c r="K126" s="2">
        <v>60500000</v>
      </c>
      <c r="L126" s="3">
        <v>0.15</v>
      </c>
      <c r="M126" t="s">
        <v>19</v>
      </c>
      <c r="N126" t="s">
        <v>298</v>
      </c>
    </row>
    <row r="127" spans="1:14" x14ac:dyDescent="0.25">
      <c r="A127" t="s">
        <v>299</v>
      </c>
      <c r="B127" s="10">
        <v>46026</v>
      </c>
      <c r="C127" t="str">
        <f t="shared" si="2"/>
        <v>January</v>
      </c>
      <c r="D127" t="s">
        <v>58</v>
      </c>
      <c r="E127" t="s">
        <v>59</v>
      </c>
      <c r="F127" t="s">
        <v>28</v>
      </c>
      <c r="G127" t="s">
        <v>42</v>
      </c>
      <c r="H127" t="s">
        <v>43</v>
      </c>
      <c r="I127" s="2">
        <v>8</v>
      </c>
      <c r="J127" s="2">
        <v>5500000</v>
      </c>
      <c r="K127" s="2">
        <v>44000000</v>
      </c>
      <c r="L127" s="3">
        <v>0.15</v>
      </c>
      <c r="M127" t="s">
        <v>19</v>
      </c>
      <c r="N127" t="s">
        <v>300</v>
      </c>
    </row>
    <row r="128" spans="1:14" x14ac:dyDescent="0.25">
      <c r="A128" t="s">
        <v>301</v>
      </c>
      <c r="B128" s="10">
        <v>46036</v>
      </c>
      <c r="C128" t="str">
        <f t="shared" si="2"/>
        <v>January</v>
      </c>
      <c r="D128" t="s">
        <v>58</v>
      </c>
      <c r="E128" t="s">
        <v>59</v>
      </c>
      <c r="F128" t="s">
        <v>28</v>
      </c>
      <c r="G128" t="s">
        <v>42</v>
      </c>
      <c r="H128" t="s">
        <v>43</v>
      </c>
      <c r="I128" s="2">
        <v>2</v>
      </c>
      <c r="J128" s="2">
        <v>5500000</v>
      </c>
      <c r="K128" s="2">
        <v>11000000</v>
      </c>
      <c r="L128" s="3">
        <v>0</v>
      </c>
      <c r="M128" t="s">
        <v>77</v>
      </c>
      <c r="N128" t="s">
        <v>302</v>
      </c>
    </row>
    <row r="129" spans="1:14" x14ac:dyDescent="0.25">
      <c r="A129" t="s">
        <v>303</v>
      </c>
      <c r="B129" s="10">
        <v>46041</v>
      </c>
      <c r="C129" t="str">
        <f t="shared" si="2"/>
        <v>January</v>
      </c>
      <c r="D129" t="s">
        <v>92</v>
      </c>
      <c r="E129" t="s">
        <v>93</v>
      </c>
      <c r="F129" t="s">
        <v>16</v>
      </c>
      <c r="G129" t="s">
        <v>29</v>
      </c>
      <c r="H129" t="s">
        <v>30</v>
      </c>
      <c r="I129" s="2">
        <v>3</v>
      </c>
      <c r="J129" s="2">
        <v>1500000</v>
      </c>
      <c r="K129" s="2">
        <v>4500000</v>
      </c>
      <c r="L129" s="3">
        <v>0.1</v>
      </c>
      <c r="M129" t="s">
        <v>19</v>
      </c>
      <c r="N129" t="s">
        <v>304</v>
      </c>
    </row>
    <row r="130" spans="1:14" x14ac:dyDescent="0.25">
      <c r="A130" t="s">
        <v>305</v>
      </c>
      <c r="B130" s="10">
        <v>46053</v>
      </c>
      <c r="C130" t="str">
        <f t="shared" si="2"/>
        <v>January</v>
      </c>
      <c r="D130" t="s">
        <v>34</v>
      </c>
      <c r="E130" t="s">
        <v>35</v>
      </c>
      <c r="F130" t="s">
        <v>36</v>
      </c>
      <c r="G130" t="s">
        <v>22</v>
      </c>
      <c r="H130" t="s">
        <v>23</v>
      </c>
      <c r="I130" s="2">
        <v>10</v>
      </c>
      <c r="J130" s="2">
        <v>2000000</v>
      </c>
      <c r="K130" s="2">
        <v>20000000</v>
      </c>
      <c r="L130" s="3">
        <v>0.05</v>
      </c>
      <c r="M130" t="s">
        <v>31</v>
      </c>
      <c r="N130" t="s">
        <v>306</v>
      </c>
    </row>
    <row r="131" spans="1:14" x14ac:dyDescent="0.25">
      <c r="A131" t="s">
        <v>307</v>
      </c>
      <c r="B131" s="10">
        <v>46138</v>
      </c>
      <c r="C131" t="str">
        <f t="shared" ref="C131:C194" si="3">TEXT(B131, "MMMM")</f>
        <v>April</v>
      </c>
      <c r="D131" t="s">
        <v>62</v>
      </c>
      <c r="E131" t="s">
        <v>63</v>
      </c>
      <c r="F131" t="s">
        <v>64</v>
      </c>
      <c r="G131" t="s">
        <v>65</v>
      </c>
      <c r="H131" t="s">
        <v>66</v>
      </c>
      <c r="I131" s="2">
        <v>14</v>
      </c>
      <c r="J131" s="2">
        <v>4000000</v>
      </c>
      <c r="K131" s="2">
        <v>56000000</v>
      </c>
      <c r="L131" s="3">
        <v>0.15</v>
      </c>
      <c r="M131" t="s">
        <v>19</v>
      </c>
      <c r="N131" t="s">
        <v>308</v>
      </c>
    </row>
    <row r="132" spans="1:14" x14ac:dyDescent="0.25">
      <c r="A132" t="s">
        <v>309</v>
      </c>
      <c r="B132" s="10">
        <v>46181</v>
      </c>
      <c r="C132" t="str">
        <f t="shared" si="3"/>
        <v>June</v>
      </c>
      <c r="D132" t="s">
        <v>92</v>
      </c>
      <c r="E132" t="s">
        <v>93</v>
      </c>
      <c r="F132" t="s">
        <v>16</v>
      </c>
      <c r="G132" t="s">
        <v>22</v>
      </c>
      <c r="H132" t="s">
        <v>23</v>
      </c>
      <c r="I132" s="2">
        <v>12</v>
      </c>
      <c r="J132" s="2">
        <v>1500000</v>
      </c>
      <c r="K132" s="2">
        <v>18000000</v>
      </c>
      <c r="L132" s="3">
        <v>0</v>
      </c>
      <c r="M132" t="s">
        <v>19</v>
      </c>
      <c r="N132" t="s">
        <v>310</v>
      </c>
    </row>
    <row r="133" spans="1:14" x14ac:dyDescent="0.25">
      <c r="A133" t="s">
        <v>311</v>
      </c>
      <c r="B133" s="10">
        <v>46077</v>
      </c>
      <c r="C133" t="str">
        <f t="shared" si="3"/>
        <v>February</v>
      </c>
      <c r="D133" t="s">
        <v>58</v>
      </c>
      <c r="E133" t="s">
        <v>59</v>
      </c>
      <c r="F133" t="s">
        <v>28</v>
      </c>
      <c r="G133" t="s">
        <v>17</v>
      </c>
      <c r="H133" t="s">
        <v>18</v>
      </c>
      <c r="I133" s="2">
        <v>3</v>
      </c>
      <c r="J133" s="2">
        <v>5500000</v>
      </c>
      <c r="K133" s="2">
        <v>16500000</v>
      </c>
      <c r="L133" s="3">
        <v>0.05</v>
      </c>
      <c r="M133" t="s">
        <v>19</v>
      </c>
      <c r="N133" t="s">
        <v>312</v>
      </c>
    </row>
    <row r="134" spans="1:14" x14ac:dyDescent="0.25">
      <c r="A134" t="s">
        <v>313</v>
      </c>
      <c r="B134" s="10">
        <v>46042</v>
      </c>
      <c r="C134" t="str">
        <f t="shared" si="3"/>
        <v>January</v>
      </c>
      <c r="D134" t="s">
        <v>39</v>
      </c>
      <c r="E134" t="s">
        <v>40</v>
      </c>
      <c r="F134" t="s">
        <v>41</v>
      </c>
      <c r="G134" t="s">
        <v>17</v>
      </c>
      <c r="H134" t="s">
        <v>18</v>
      </c>
      <c r="I134" s="2">
        <v>7</v>
      </c>
      <c r="J134" s="2">
        <v>12000000</v>
      </c>
      <c r="K134" s="2">
        <v>84000000</v>
      </c>
      <c r="L134" s="3">
        <v>0.15</v>
      </c>
      <c r="M134" t="s">
        <v>51</v>
      </c>
      <c r="N134" t="s">
        <v>314</v>
      </c>
    </row>
    <row r="135" spans="1:14" x14ac:dyDescent="0.25">
      <c r="A135" t="s">
        <v>315</v>
      </c>
      <c r="B135" s="10">
        <v>46143</v>
      </c>
      <c r="C135" t="str">
        <f t="shared" si="3"/>
        <v>May</v>
      </c>
      <c r="D135" t="s">
        <v>58</v>
      </c>
      <c r="E135" t="s">
        <v>59</v>
      </c>
      <c r="F135" t="s">
        <v>28</v>
      </c>
      <c r="G135" t="s">
        <v>17</v>
      </c>
      <c r="H135" t="s">
        <v>18</v>
      </c>
      <c r="I135" s="2">
        <v>4</v>
      </c>
      <c r="J135" s="2">
        <v>5500000</v>
      </c>
      <c r="K135" s="2">
        <v>22000000</v>
      </c>
      <c r="L135" s="3">
        <v>0.1</v>
      </c>
      <c r="M135" t="s">
        <v>51</v>
      </c>
      <c r="N135" t="s">
        <v>316</v>
      </c>
    </row>
    <row r="136" spans="1:14" x14ac:dyDescent="0.25">
      <c r="A136" t="s">
        <v>317</v>
      </c>
      <c r="B136" s="10">
        <v>46202</v>
      </c>
      <c r="C136" t="str">
        <f t="shared" si="3"/>
        <v>June</v>
      </c>
      <c r="D136" t="s">
        <v>62</v>
      </c>
      <c r="E136" t="s">
        <v>63</v>
      </c>
      <c r="F136" t="s">
        <v>64</v>
      </c>
      <c r="G136" t="s">
        <v>17</v>
      </c>
      <c r="H136" t="s">
        <v>18</v>
      </c>
      <c r="I136" s="2">
        <v>11</v>
      </c>
      <c r="J136" s="2">
        <v>4000000</v>
      </c>
      <c r="K136" s="2">
        <v>44000000</v>
      </c>
      <c r="L136" s="3">
        <v>0.05</v>
      </c>
      <c r="M136" t="s">
        <v>19</v>
      </c>
      <c r="N136" t="s">
        <v>318</v>
      </c>
    </row>
    <row r="137" spans="1:14" x14ac:dyDescent="0.25">
      <c r="A137" t="s">
        <v>319</v>
      </c>
      <c r="B137" s="10">
        <v>46225</v>
      </c>
      <c r="C137" t="str">
        <f t="shared" si="3"/>
        <v>July</v>
      </c>
      <c r="D137" t="s">
        <v>26</v>
      </c>
      <c r="E137" t="s">
        <v>27</v>
      </c>
      <c r="F137" t="s">
        <v>28</v>
      </c>
      <c r="G137" t="s">
        <v>42</v>
      </c>
      <c r="H137" t="s">
        <v>43</v>
      </c>
      <c r="I137" s="2">
        <v>2</v>
      </c>
      <c r="J137" s="2">
        <v>2500000</v>
      </c>
      <c r="K137" s="2">
        <v>5000000</v>
      </c>
      <c r="L137" s="3">
        <v>0.05</v>
      </c>
      <c r="M137" t="s">
        <v>51</v>
      </c>
      <c r="N137" t="s">
        <v>320</v>
      </c>
    </row>
    <row r="138" spans="1:14" x14ac:dyDescent="0.25">
      <c r="A138" t="s">
        <v>321</v>
      </c>
      <c r="B138" s="10">
        <v>46091</v>
      </c>
      <c r="C138" t="str">
        <f t="shared" si="3"/>
        <v>March</v>
      </c>
      <c r="D138" t="s">
        <v>39</v>
      </c>
      <c r="E138" t="s">
        <v>40</v>
      </c>
      <c r="F138" t="s">
        <v>41</v>
      </c>
      <c r="G138" t="s">
        <v>17</v>
      </c>
      <c r="H138" t="s">
        <v>18</v>
      </c>
      <c r="I138" s="2">
        <v>1</v>
      </c>
      <c r="J138" s="2">
        <v>12000000</v>
      </c>
      <c r="K138" s="2">
        <v>12000000</v>
      </c>
      <c r="L138" s="3">
        <v>0.05</v>
      </c>
      <c r="M138" t="s">
        <v>19</v>
      </c>
      <c r="N138" t="s">
        <v>322</v>
      </c>
    </row>
    <row r="139" spans="1:14" x14ac:dyDescent="0.25">
      <c r="A139" t="s">
        <v>323</v>
      </c>
      <c r="B139" s="10">
        <v>46214</v>
      </c>
      <c r="C139" t="str">
        <f t="shared" si="3"/>
        <v>July</v>
      </c>
      <c r="D139" t="s">
        <v>58</v>
      </c>
      <c r="E139" t="s">
        <v>59</v>
      </c>
      <c r="F139" t="s">
        <v>28</v>
      </c>
      <c r="G139" t="s">
        <v>42</v>
      </c>
      <c r="H139" t="s">
        <v>43</v>
      </c>
      <c r="I139" s="2">
        <v>2</v>
      </c>
      <c r="J139" s="2">
        <v>5500000</v>
      </c>
      <c r="K139" s="2">
        <v>11000000</v>
      </c>
      <c r="L139" s="3">
        <v>0.15</v>
      </c>
      <c r="M139" t="s">
        <v>51</v>
      </c>
      <c r="N139" t="s">
        <v>324</v>
      </c>
    </row>
    <row r="140" spans="1:14" x14ac:dyDescent="0.25">
      <c r="A140" t="s">
        <v>325</v>
      </c>
      <c r="B140" s="10">
        <v>46202</v>
      </c>
      <c r="C140" t="str">
        <f t="shared" si="3"/>
        <v>June</v>
      </c>
      <c r="D140" t="s">
        <v>34</v>
      </c>
      <c r="E140" t="s">
        <v>35</v>
      </c>
      <c r="F140" t="s">
        <v>36</v>
      </c>
      <c r="G140" t="s">
        <v>65</v>
      </c>
      <c r="H140" t="s">
        <v>66</v>
      </c>
      <c r="I140" s="2">
        <v>9</v>
      </c>
      <c r="J140" s="2">
        <v>2000000</v>
      </c>
      <c r="K140" s="2">
        <v>18000000</v>
      </c>
      <c r="L140" s="3">
        <v>0.15</v>
      </c>
      <c r="M140" t="s">
        <v>77</v>
      </c>
      <c r="N140" t="s">
        <v>326</v>
      </c>
    </row>
    <row r="141" spans="1:14" x14ac:dyDescent="0.25">
      <c r="A141" t="s">
        <v>327</v>
      </c>
      <c r="B141" s="10">
        <v>46176</v>
      </c>
      <c r="C141" t="str">
        <f t="shared" si="3"/>
        <v>June</v>
      </c>
      <c r="D141" t="s">
        <v>92</v>
      </c>
      <c r="E141" t="s">
        <v>93</v>
      </c>
      <c r="F141" t="s">
        <v>16</v>
      </c>
      <c r="G141" t="s">
        <v>42</v>
      </c>
      <c r="H141" t="s">
        <v>43</v>
      </c>
      <c r="I141" s="2">
        <v>12</v>
      </c>
      <c r="J141" s="2">
        <v>1500000</v>
      </c>
      <c r="K141" s="2">
        <v>18000000</v>
      </c>
      <c r="L141" s="3">
        <v>0.1</v>
      </c>
      <c r="M141" t="s">
        <v>31</v>
      </c>
      <c r="N141" t="s">
        <v>328</v>
      </c>
    </row>
    <row r="142" spans="1:14" x14ac:dyDescent="0.25">
      <c r="A142" t="s">
        <v>329</v>
      </c>
      <c r="B142" s="10">
        <v>46029</v>
      </c>
      <c r="C142" t="str">
        <f t="shared" si="3"/>
        <v>January</v>
      </c>
      <c r="D142" t="s">
        <v>14</v>
      </c>
      <c r="E142" t="s">
        <v>15</v>
      </c>
      <c r="F142" t="s">
        <v>16</v>
      </c>
      <c r="G142" t="s">
        <v>29</v>
      </c>
      <c r="H142" t="s">
        <v>30</v>
      </c>
      <c r="I142" s="2">
        <v>11</v>
      </c>
      <c r="J142" s="2">
        <v>3500000</v>
      </c>
      <c r="K142" s="2">
        <v>38500000</v>
      </c>
      <c r="L142" s="3">
        <v>0</v>
      </c>
      <c r="M142" t="s">
        <v>51</v>
      </c>
      <c r="N142" t="s">
        <v>330</v>
      </c>
    </row>
    <row r="143" spans="1:14" x14ac:dyDescent="0.25">
      <c r="A143" t="s">
        <v>331</v>
      </c>
      <c r="B143" s="10">
        <v>46091</v>
      </c>
      <c r="C143" t="str">
        <f t="shared" si="3"/>
        <v>March</v>
      </c>
      <c r="D143" t="s">
        <v>92</v>
      </c>
      <c r="E143" t="s">
        <v>93</v>
      </c>
      <c r="F143" t="s">
        <v>16</v>
      </c>
      <c r="G143" t="s">
        <v>29</v>
      </c>
      <c r="H143" t="s">
        <v>30</v>
      </c>
      <c r="I143" s="2">
        <v>8</v>
      </c>
      <c r="J143" s="2">
        <v>1500000</v>
      </c>
      <c r="K143" s="2">
        <v>12000000</v>
      </c>
      <c r="L143" s="3">
        <v>0.15</v>
      </c>
      <c r="M143" t="s">
        <v>19</v>
      </c>
      <c r="N143" t="s">
        <v>332</v>
      </c>
    </row>
    <row r="144" spans="1:14" x14ac:dyDescent="0.25">
      <c r="A144" t="s">
        <v>333</v>
      </c>
      <c r="B144" s="10">
        <v>46172</v>
      </c>
      <c r="C144" t="str">
        <f t="shared" si="3"/>
        <v>May</v>
      </c>
      <c r="D144" t="s">
        <v>34</v>
      </c>
      <c r="E144" t="s">
        <v>35</v>
      </c>
      <c r="F144" t="s">
        <v>36</v>
      </c>
      <c r="G144" t="s">
        <v>42</v>
      </c>
      <c r="H144" t="s">
        <v>43</v>
      </c>
      <c r="I144" s="2">
        <v>2</v>
      </c>
      <c r="J144" s="2">
        <v>2000000</v>
      </c>
      <c r="K144" s="2">
        <v>4000000</v>
      </c>
      <c r="L144" s="3">
        <v>0.15</v>
      </c>
      <c r="M144" t="s">
        <v>19</v>
      </c>
      <c r="N144" t="s">
        <v>334</v>
      </c>
    </row>
    <row r="145" spans="1:14" x14ac:dyDescent="0.25">
      <c r="A145" t="s">
        <v>335</v>
      </c>
      <c r="B145" s="10">
        <v>46108</v>
      </c>
      <c r="C145" t="str">
        <f t="shared" si="3"/>
        <v>March</v>
      </c>
      <c r="D145" t="s">
        <v>46</v>
      </c>
      <c r="E145" t="s">
        <v>47</v>
      </c>
      <c r="F145" t="s">
        <v>48</v>
      </c>
      <c r="G145" t="s">
        <v>17</v>
      </c>
      <c r="H145" t="s">
        <v>18</v>
      </c>
      <c r="I145" s="2">
        <v>14</v>
      </c>
      <c r="J145" s="2">
        <v>750000</v>
      </c>
      <c r="K145" s="2">
        <v>10500000</v>
      </c>
      <c r="L145" s="3">
        <v>0.05</v>
      </c>
      <c r="M145" t="s">
        <v>19</v>
      </c>
      <c r="N145" t="s">
        <v>336</v>
      </c>
    </row>
    <row r="146" spans="1:14" x14ac:dyDescent="0.25">
      <c r="A146" t="s">
        <v>337</v>
      </c>
      <c r="B146" s="10">
        <v>46200</v>
      </c>
      <c r="C146" t="str">
        <f t="shared" si="3"/>
        <v>June</v>
      </c>
      <c r="D146" t="s">
        <v>62</v>
      </c>
      <c r="E146" t="s">
        <v>63</v>
      </c>
      <c r="F146" t="s">
        <v>64</v>
      </c>
      <c r="G146" t="s">
        <v>65</v>
      </c>
      <c r="H146" t="s">
        <v>66</v>
      </c>
      <c r="I146" s="2">
        <v>11</v>
      </c>
      <c r="J146" s="2">
        <v>4000000</v>
      </c>
      <c r="K146" s="2">
        <v>44000000</v>
      </c>
      <c r="L146" s="3">
        <v>0.15</v>
      </c>
      <c r="M146" t="s">
        <v>31</v>
      </c>
      <c r="N146" t="s">
        <v>338</v>
      </c>
    </row>
    <row r="147" spans="1:14" x14ac:dyDescent="0.25">
      <c r="A147" t="s">
        <v>339</v>
      </c>
      <c r="B147" s="10">
        <v>46139</v>
      </c>
      <c r="C147" t="str">
        <f t="shared" si="3"/>
        <v>April</v>
      </c>
      <c r="D147" t="s">
        <v>14</v>
      </c>
      <c r="E147" t="s">
        <v>15</v>
      </c>
      <c r="F147" t="s">
        <v>16</v>
      </c>
      <c r="G147" t="s">
        <v>65</v>
      </c>
      <c r="H147" t="s">
        <v>66</v>
      </c>
      <c r="I147" s="2">
        <v>5</v>
      </c>
      <c r="J147" s="2">
        <v>3500000</v>
      </c>
      <c r="K147" s="2">
        <v>17500000</v>
      </c>
      <c r="L147" s="3">
        <v>0.1</v>
      </c>
      <c r="M147" t="s">
        <v>19</v>
      </c>
      <c r="N147" t="s">
        <v>340</v>
      </c>
    </row>
    <row r="148" spans="1:14" x14ac:dyDescent="0.25">
      <c r="A148" t="s">
        <v>341</v>
      </c>
      <c r="B148" s="10">
        <v>46126</v>
      </c>
      <c r="C148" t="str">
        <f t="shared" si="3"/>
        <v>April</v>
      </c>
      <c r="D148" t="s">
        <v>92</v>
      </c>
      <c r="E148" t="s">
        <v>93</v>
      </c>
      <c r="F148" t="s">
        <v>16</v>
      </c>
      <c r="G148" t="s">
        <v>22</v>
      </c>
      <c r="H148" t="s">
        <v>23</v>
      </c>
      <c r="I148" s="2">
        <v>8</v>
      </c>
      <c r="J148" s="2">
        <v>1500000</v>
      </c>
      <c r="K148" s="2">
        <v>12000000</v>
      </c>
      <c r="L148" s="3">
        <v>0.15</v>
      </c>
      <c r="M148" t="s">
        <v>19</v>
      </c>
      <c r="N148" t="s">
        <v>342</v>
      </c>
    </row>
    <row r="149" spans="1:14" x14ac:dyDescent="0.25">
      <c r="A149" t="s">
        <v>343</v>
      </c>
      <c r="B149" s="10">
        <v>46155</v>
      </c>
      <c r="C149" t="str">
        <f t="shared" si="3"/>
        <v>May</v>
      </c>
      <c r="D149" t="s">
        <v>46</v>
      </c>
      <c r="E149" t="s">
        <v>47</v>
      </c>
      <c r="F149" t="s">
        <v>48</v>
      </c>
      <c r="G149" t="s">
        <v>22</v>
      </c>
      <c r="H149" t="s">
        <v>23</v>
      </c>
      <c r="I149" s="2">
        <v>13</v>
      </c>
      <c r="J149" s="2">
        <v>750000</v>
      </c>
      <c r="K149" s="2">
        <v>9750000</v>
      </c>
      <c r="L149" s="3">
        <v>0.15</v>
      </c>
      <c r="M149" t="s">
        <v>51</v>
      </c>
      <c r="N149" t="s">
        <v>344</v>
      </c>
    </row>
    <row r="150" spans="1:14" x14ac:dyDescent="0.25">
      <c r="A150" t="s">
        <v>345</v>
      </c>
      <c r="B150" s="10">
        <v>46217</v>
      </c>
      <c r="C150" t="str">
        <f t="shared" si="3"/>
        <v>July</v>
      </c>
      <c r="D150" t="s">
        <v>92</v>
      </c>
      <c r="E150" t="s">
        <v>93</v>
      </c>
      <c r="F150" t="s">
        <v>16</v>
      </c>
      <c r="G150" t="s">
        <v>29</v>
      </c>
      <c r="H150" t="s">
        <v>30</v>
      </c>
      <c r="I150" s="2">
        <v>5</v>
      </c>
      <c r="J150" s="2">
        <v>1500000</v>
      </c>
      <c r="K150" s="2">
        <v>7500000</v>
      </c>
      <c r="L150" s="3">
        <v>0.05</v>
      </c>
      <c r="M150" t="s">
        <v>19</v>
      </c>
      <c r="N150" t="s">
        <v>346</v>
      </c>
    </row>
    <row r="151" spans="1:14" x14ac:dyDescent="0.25">
      <c r="A151" t="s">
        <v>347</v>
      </c>
      <c r="B151" s="10">
        <v>46201</v>
      </c>
      <c r="C151" t="str">
        <f t="shared" si="3"/>
        <v>June</v>
      </c>
      <c r="D151" t="s">
        <v>62</v>
      </c>
      <c r="E151" t="s">
        <v>63</v>
      </c>
      <c r="F151" t="s">
        <v>64</v>
      </c>
      <c r="G151" t="s">
        <v>17</v>
      </c>
      <c r="H151" t="s">
        <v>18</v>
      </c>
      <c r="I151" s="2">
        <v>1</v>
      </c>
      <c r="J151" s="2">
        <v>4000000</v>
      </c>
      <c r="K151" s="2">
        <v>4000000</v>
      </c>
      <c r="L151" s="3">
        <v>0.05</v>
      </c>
      <c r="M151" t="s">
        <v>51</v>
      </c>
      <c r="N151" t="s">
        <v>348</v>
      </c>
    </row>
    <row r="152" spans="1:14" x14ac:dyDescent="0.25">
      <c r="A152" t="s">
        <v>349</v>
      </c>
      <c r="B152" s="10">
        <v>46102</v>
      </c>
      <c r="C152" t="str">
        <f t="shared" si="3"/>
        <v>March</v>
      </c>
      <c r="D152" t="s">
        <v>92</v>
      </c>
      <c r="E152" t="s">
        <v>93</v>
      </c>
      <c r="F152" t="s">
        <v>16</v>
      </c>
      <c r="G152" t="s">
        <v>22</v>
      </c>
      <c r="H152" t="s">
        <v>23</v>
      </c>
      <c r="I152" s="2">
        <v>7</v>
      </c>
      <c r="J152" s="2">
        <v>1500000</v>
      </c>
      <c r="K152" s="2">
        <v>10500000</v>
      </c>
      <c r="L152" s="3">
        <v>0</v>
      </c>
      <c r="M152" t="s">
        <v>19</v>
      </c>
      <c r="N152" t="s">
        <v>350</v>
      </c>
    </row>
    <row r="153" spans="1:14" x14ac:dyDescent="0.25">
      <c r="A153" t="s">
        <v>351</v>
      </c>
      <c r="B153" s="10">
        <v>46052</v>
      </c>
      <c r="C153" t="str">
        <f t="shared" si="3"/>
        <v>January</v>
      </c>
      <c r="D153" t="s">
        <v>62</v>
      </c>
      <c r="E153" t="s">
        <v>63</v>
      </c>
      <c r="F153" t="s">
        <v>64</v>
      </c>
      <c r="G153" t="s">
        <v>17</v>
      </c>
      <c r="H153" t="s">
        <v>18</v>
      </c>
      <c r="I153" s="2">
        <v>11</v>
      </c>
      <c r="J153" s="2">
        <v>4000000</v>
      </c>
      <c r="K153" s="2">
        <v>44000000</v>
      </c>
      <c r="L153" s="3">
        <v>0.05</v>
      </c>
      <c r="M153" t="s">
        <v>77</v>
      </c>
      <c r="N153" t="s">
        <v>352</v>
      </c>
    </row>
    <row r="154" spans="1:14" x14ac:dyDescent="0.25">
      <c r="A154" t="s">
        <v>353</v>
      </c>
      <c r="B154" s="10">
        <v>46097</v>
      </c>
      <c r="C154" t="str">
        <f t="shared" si="3"/>
        <v>March</v>
      </c>
      <c r="D154" t="s">
        <v>58</v>
      </c>
      <c r="E154" t="s">
        <v>59</v>
      </c>
      <c r="F154" t="s">
        <v>28</v>
      </c>
      <c r="G154" t="s">
        <v>42</v>
      </c>
      <c r="H154" t="s">
        <v>43</v>
      </c>
      <c r="I154" s="2">
        <v>14</v>
      </c>
      <c r="J154" s="2">
        <v>5500000</v>
      </c>
      <c r="K154" s="2">
        <v>77000000</v>
      </c>
      <c r="L154" s="3">
        <v>0.15</v>
      </c>
      <c r="M154" t="s">
        <v>77</v>
      </c>
      <c r="N154" t="s">
        <v>354</v>
      </c>
    </row>
    <row r="155" spans="1:14" x14ac:dyDescent="0.25">
      <c r="A155" t="s">
        <v>355</v>
      </c>
      <c r="B155" s="10">
        <v>46139</v>
      </c>
      <c r="C155" t="str">
        <f t="shared" si="3"/>
        <v>April</v>
      </c>
      <c r="D155" t="s">
        <v>39</v>
      </c>
      <c r="E155" t="s">
        <v>40</v>
      </c>
      <c r="F155" t="s">
        <v>41</v>
      </c>
      <c r="G155" t="s">
        <v>42</v>
      </c>
      <c r="H155" t="s">
        <v>43</v>
      </c>
      <c r="I155" s="2">
        <v>4</v>
      </c>
      <c r="J155" s="2">
        <v>12000000</v>
      </c>
      <c r="K155" s="2">
        <v>48000000</v>
      </c>
      <c r="L155" s="3">
        <v>0.05</v>
      </c>
      <c r="M155" t="s">
        <v>19</v>
      </c>
      <c r="N155" t="s">
        <v>356</v>
      </c>
    </row>
    <row r="156" spans="1:14" x14ac:dyDescent="0.25">
      <c r="A156" t="s">
        <v>357</v>
      </c>
      <c r="B156" s="10">
        <v>46220</v>
      </c>
      <c r="C156" t="str">
        <f t="shared" si="3"/>
        <v>July</v>
      </c>
      <c r="D156" t="s">
        <v>34</v>
      </c>
      <c r="E156" t="s">
        <v>35</v>
      </c>
      <c r="F156" t="s">
        <v>36</v>
      </c>
      <c r="G156" t="s">
        <v>65</v>
      </c>
      <c r="H156" t="s">
        <v>66</v>
      </c>
      <c r="I156" s="2">
        <v>15</v>
      </c>
      <c r="J156" s="2">
        <v>2000000</v>
      </c>
      <c r="K156" s="2">
        <v>30000000</v>
      </c>
      <c r="L156" s="3">
        <v>0.1</v>
      </c>
      <c r="M156" t="s">
        <v>19</v>
      </c>
      <c r="N156" t="s">
        <v>358</v>
      </c>
    </row>
    <row r="157" spans="1:14" x14ac:dyDescent="0.25">
      <c r="A157" t="s">
        <v>359</v>
      </c>
      <c r="B157" s="10">
        <v>46208</v>
      </c>
      <c r="C157" t="str">
        <f t="shared" si="3"/>
        <v>July</v>
      </c>
      <c r="D157" t="s">
        <v>58</v>
      </c>
      <c r="E157" t="s">
        <v>59</v>
      </c>
      <c r="F157" t="s">
        <v>28</v>
      </c>
      <c r="G157" t="s">
        <v>22</v>
      </c>
      <c r="H157" t="s">
        <v>23</v>
      </c>
      <c r="I157" s="2">
        <v>10</v>
      </c>
      <c r="J157" s="2">
        <v>5500000</v>
      </c>
      <c r="K157" s="2">
        <v>55000000</v>
      </c>
      <c r="L157" s="3">
        <v>0.15</v>
      </c>
      <c r="M157" t="s">
        <v>19</v>
      </c>
      <c r="N157" t="s">
        <v>360</v>
      </c>
    </row>
    <row r="158" spans="1:14" x14ac:dyDescent="0.25">
      <c r="A158" t="s">
        <v>361</v>
      </c>
      <c r="B158" s="10">
        <v>46160</v>
      </c>
      <c r="C158" t="str">
        <f t="shared" si="3"/>
        <v>May</v>
      </c>
      <c r="D158" t="s">
        <v>62</v>
      </c>
      <c r="E158" t="s">
        <v>63</v>
      </c>
      <c r="F158" t="s">
        <v>64</v>
      </c>
      <c r="G158" t="s">
        <v>65</v>
      </c>
      <c r="H158" t="s">
        <v>66</v>
      </c>
      <c r="I158" s="2">
        <v>6</v>
      </c>
      <c r="J158" s="2">
        <v>4000000</v>
      </c>
      <c r="K158" s="2">
        <v>24000000</v>
      </c>
      <c r="L158" s="3">
        <v>0.15</v>
      </c>
      <c r="M158" t="s">
        <v>77</v>
      </c>
      <c r="N158" t="s">
        <v>362</v>
      </c>
    </row>
    <row r="159" spans="1:14" x14ac:dyDescent="0.25">
      <c r="A159" t="s">
        <v>363</v>
      </c>
      <c r="B159" s="10">
        <v>46071</v>
      </c>
      <c r="C159" t="str">
        <f t="shared" si="3"/>
        <v>February</v>
      </c>
      <c r="D159" t="s">
        <v>26</v>
      </c>
      <c r="E159" t="s">
        <v>27</v>
      </c>
      <c r="F159" t="s">
        <v>28</v>
      </c>
      <c r="G159" t="s">
        <v>22</v>
      </c>
      <c r="H159" t="s">
        <v>23</v>
      </c>
      <c r="I159" s="2">
        <v>7</v>
      </c>
      <c r="J159" s="2">
        <v>2500000</v>
      </c>
      <c r="K159" s="2">
        <v>17500000</v>
      </c>
      <c r="L159" s="3">
        <v>0.05</v>
      </c>
      <c r="M159" t="s">
        <v>77</v>
      </c>
      <c r="N159" t="s">
        <v>364</v>
      </c>
    </row>
    <row r="160" spans="1:14" x14ac:dyDescent="0.25">
      <c r="A160" t="s">
        <v>365</v>
      </c>
      <c r="B160" s="10">
        <v>46104</v>
      </c>
      <c r="C160" t="str">
        <f t="shared" si="3"/>
        <v>March</v>
      </c>
      <c r="D160" t="s">
        <v>62</v>
      </c>
      <c r="E160" t="s">
        <v>63</v>
      </c>
      <c r="F160" t="s">
        <v>64</v>
      </c>
      <c r="G160" t="s">
        <v>42</v>
      </c>
      <c r="H160" t="s">
        <v>43</v>
      </c>
      <c r="I160" s="2">
        <v>7</v>
      </c>
      <c r="J160" s="2">
        <v>4000000</v>
      </c>
      <c r="K160" s="2">
        <v>28000000</v>
      </c>
      <c r="L160" s="3">
        <v>0.05</v>
      </c>
      <c r="M160" t="s">
        <v>77</v>
      </c>
      <c r="N160" t="s">
        <v>366</v>
      </c>
    </row>
    <row r="161" spans="1:14" x14ac:dyDescent="0.25">
      <c r="A161" t="s">
        <v>367</v>
      </c>
      <c r="B161" s="10">
        <v>46055</v>
      </c>
      <c r="C161" t="str">
        <f t="shared" si="3"/>
        <v>February</v>
      </c>
      <c r="D161" t="s">
        <v>46</v>
      </c>
      <c r="E161" t="s">
        <v>47</v>
      </c>
      <c r="F161" t="s">
        <v>48</v>
      </c>
      <c r="G161" t="s">
        <v>17</v>
      </c>
      <c r="H161" t="s">
        <v>18</v>
      </c>
      <c r="I161" s="2">
        <v>14</v>
      </c>
      <c r="J161" s="2">
        <v>750000</v>
      </c>
      <c r="K161" s="2">
        <v>10500000</v>
      </c>
      <c r="L161" s="3">
        <v>0.15</v>
      </c>
      <c r="M161" t="s">
        <v>19</v>
      </c>
      <c r="N161" t="s">
        <v>368</v>
      </c>
    </row>
    <row r="162" spans="1:14" x14ac:dyDescent="0.25">
      <c r="A162" t="s">
        <v>369</v>
      </c>
      <c r="B162" s="10">
        <v>46139</v>
      </c>
      <c r="C162" t="str">
        <f t="shared" si="3"/>
        <v>April</v>
      </c>
      <c r="D162" t="s">
        <v>92</v>
      </c>
      <c r="E162" t="s">
        <v>93</v>
      </c>
      <c r="F162" t="s">
        <v>16</v>
      </c>
      <c r="G162" t="s">
        <v>29</v>
      </c>
      <c r="H162" t="s">
        <v>30</v>
      </c>
      <c r="I162" s="2">
        <v>7</v>
      </c>
      <c r="J162" s="2">
        <v>1500000</v>
      </c>
      <c r="K162" s="2">
        <v>10500000</v>
      </c>
      <c r="L162" s="3">
        <v>0.05</v>
      </c>
      <c r="M162" t="s">
        <v>19</v>
      </c>
      <c r="N162" t="s">
        <v>370</v>
      </c>
    </row>
    <row r="163" spans="1:14" x14ac:dyDescent="0.25">
      <c r="A163" t="s">
        <v>371</v>
      </c>
      <c r="B163" s="10">
        <v>46223</v>
      </c>
      <c r="C163" t="str">
        <f t="shared" si="3"/>
        <v>July</v>
      </c>
      <c r="D163" t="s">
        <v>58</v>
      </c>
      <c r="E163" t="s">
        <v>59</v>
      </c>
      <c r="F163" t="s">
        <v>28</v>
      </c>
      <c r="G163" t="s">
        <v>65</v>
      </c>
      <c r="H163" t="s">
        <v>66</v>
      </c>
      <c r="I163" s="2">
        <v>10</v>
      </c>
      <c r="J163" s="2">
        <v>5500000</v>
      </c>
      <c r="K163" s="2">
        <v>55000000</v>
      </c>
      <c r="L163" s="3">
        <v>0.15</v>
      </c>
      <c r="M163" t="s">
        <v>51</v>
      </c>
      <c r="N163" t="s">
        <v>372</v>
      </c>
    </row>
    <row r="164" spans="1:14" x14ac:dyDescent="0.25">
      <c r="A164" t="s">
        <v>373</v>
      </c>
      <c r="B164" s="10">
        <v>46241</v>
      </c>
      <c r="C164" t="str">
        <f t="shared" si="3"/>
        <v>August</v>
      </c>
      <c r="D164" t="s">
        <v>46</v>
      </c>
      <c r="E164" t="s">
        <v>47</v>
      </c>
      <c r="F164" t="s">
        <v>48</v>
      </c>
      <c r="G164" t="s">
        <v>22</v>
      </c>
      <c r="H164" t="s">
        <v>23</v>
      </c>
      <c r="I164" s="2">
        <v>7</v>
      </c>
      <c r="J164" s="2">
        <v>750000</v>
      </c>
      <c r="K164" s="2">
        <v>5250000</v>
      </c>
      <c r="L164" s="3">
        <v>0.1</v>
      </c>
      <c r="M164" t="s">
        <v>51</v>
      </c>
      <c r="N164" t="s">
        <v>374</v>
      </c>
    </row>
    <row r="165" spans="1:14" x14ac:dyDescent="0.25">
      <c r="A165" t="s">
        <v>375</v>
      </c>
      <c r="B165" s="10">
        <v>46217</v>
      </c>
      <c r="C165" t="str">
        <f t="shared" si="3"/>
        <v>July</v>
      </c>
      <c r="D165" t="s">
        <v>62</v>
      </c>
      <c r="E165" t="s">
        <v>63</v>
      </c>
      <c r="F165" t="s">
        <v>64</v>
      </c>
      <c r="G165" t="s">
        <v>22</v>
      </c>
      <c r="H165" t="s">
        <v>23</v>
      </c>
      <c r="I165" s="2">
        <v>1</v>
      </c>
      <c r="J165" s="2">
        <v>4000000</v>
      </c>
      <c r="K165" s="2">
        <v>4000000</v>
      </c>
      <c r="L165" s="3">
        <v>0</v>
      </c>
      <c r="M165" t="s">
        <v>19</v>
      </c>
      <c r="N165" t="s">
        <v>376</v>
      </c>
    </row>
    <row r="166" spans="1:14" x14ac:dyDescent="0.25">
      <c r="A166" t="s">
        <v>377</v>
      </c>
      <c r="B166" s="10">
        <v>46198</v>
      </c>
      <c r="C166" t="str">
        <f t="shared" si="3"/>
        <v>June</v>
      </c>
      <c r="D166" t="s">
        <v>58</v>
      </c>
      <c r="E166" t="s">
        <v>59</v>
      </c>
      <c r="F166" t="s">
        <v>28</v>
      </c>
      <c r="G166" t="s">
        <v>29</v>
      </c>
      <c r="H166" t="s">
        <v>30</v>
      </c>
      <c r="I166" s="2">
        <v>12</v>
      </c>
      <c r="J166" s="2">
        <v>5500000</v>
      </c>
      <c r="K166" s="2">
        <v>66000000</v>
      </c>
      <c r="L166" s="3">
        <v>0</v>
      </c>
      <c r="M166" t="s">
        <v>77</v>
      </c>
      <c r="N166" t="s">
        <v>378</v>
      </c>
    </row>
    <row r="167" spans="1:14" x14ac:dyDescent="0.25">
      <c r="A167" t="s">
        <v>379</v>
      </c>
      <c r="B167" s="10">
        <v>46217</v>
      </c>
      <c r="C167" t="str">
        <f t="shared" si="3"/>
        <v>July</v>
      </c>
      <c r="D167" t="s">
        <v>14</v>
      </c>
      <c r="E167" t="s">
        <v>15</v>
      </c>
      <c r="F167" t="s">
        <v>16</v>
      </c>
      <c r="G167" t="s">
        <v>42</v>
      </c>
      <c r="H167" t="s">
        <v>43</v>
      </c>
      <c r="I167" s="2">
        <v>3</v>
      </c>
      <c r="J167" s="2">
        <v>3500000</v>
      </c>
      <c r="K167" s="2">
        <v>10500000</v>
      </c>
      <c r="L167" s="3">
        <v>0.1</v>
      </c>
      <c r="M167" t="s">
        <v>19</v>
      </c>
      <c r="N167" t="s">
        <v>380</v>
      </c>
    </row>
    <row r="168" spans="1:14" x14ac:dyDescent="0.25">
      <c r="A168" t="s">
        <v>381</v>
      </c>
      <c r="B168" s="10">
        <v>46106</v>
      </c>
      <c r="C168" t="str">
        <f t="shared" si="3"/>
        <v>March</v>
      </c>
      <c r="D168" t="s">
        <v>92</v>
      </c>
      <c r="E168" t="s">
        <v>93</v>
      </c>
      <c r="F168" t="s">
        <v>16</v>
      </c>
      <c r="G168" t="s">
        <v>65</v>
      </c>
      <c r="H168" t="s">
        <v>66</v>
      </c>
      <c r="I168" s="2">
        <v>6</v>
      </c>
      <c r="J168" s="2">
        <v>1500000</v>
      </c>
      <c r="K168" s="2">
        <v>9000000</v>
      </c>
      <c r="L168" s="3">
        <v>0.1</v>
      </c>
      <c r="M168" t="s">
        <v>77</v>
      </c>
      <c r="N168" t="s">
        <v>382</v>
      </c>
    </row>
    <row r="169" spans="1:14" x14ac:dyDescent="0.25">
      <c r="A169" t="s">
        <v>383</v>
      </c>
      <c r="B169" s="10">
        <v>46085</v>
      </c>
      <c r="C169" t="str">
        <f t="shared" si="3"/>
        <v>March</v>
      </c>
      <c r="D169" t="s">
        <v>34</v>
      </c>
      <c r="E169" t="s">
        <v>35</v>
      </c>
      <c r="F169" t="s">
        <v>36</v>
      </c>
      <c r="G169" t="s">
        <v>22</v>
      </c>
      <c r="H169" t="s">
        <v>23</v>
      </c>
      <c r="I169" s="2">
        <v>11</v>
      </c>
      <c r="J169" s="2">
        <v>2000000</v>
      </c>
      <c r="K169" s="2">
        <v>22000000</v>
      </c>
      <c r="L169" s="3">
        <v>0.05</v>
      </c>
      <c r="M169" t="s">
        <v>19</v>
      </c>
      <c r="N169" t="s">
        <v>384</v>
      </c>
    </row>
    <row r="170" spans="1:14" x14ac:dyDescent="0.25">
      <c r="A170" t="s">
        <v>385</v>
      </c>
      <c r="B170" s="10">
        <v>46043</v>
      </c>
      <c r="C170" t="str">
        <f t="shared" si="3"/>
        <v>January</v>
      </c>
      <c r="D170" t="s">
        <v>34</v>
      </c>
      <c r="E170" t="s">
        <v>35</v>
      </c>
      <c r="F170" t="s">
        <v>36</v>
      </c>
      <c r="G170" t="s">
        <v>22</v>
      </c>
      <c r="H170" t="s">
        <v>23</v>
      </c>
      <c r="I170" s="2">
        <v>11</v>
      </c>
      <c r="J170" s="2">
        <v>2000000</v>
      </c>
      <c r="K170" s="2">
        <v>22000000</v>
      </c>
      <c r="L170" s="3">
        <v>0.05</v>
      </c>
      <c r="M170" t="s">
        <v>77</v>
      </c>
      <c r="N170" t="s">
        <v>386</v>
      </c>
    </row>
    <row r="171" spans="1:14" x14ac:dyDescent="0.25">
      <c r="A171" t="s">
        <v>387</v>
      </c>
      <c r="B171" s="10">
        <v>46059</v>
      </c>
      <c r="C171" t="str">
        <f t="shared" si="3"/>
        <v>February</v>
      </c>
      <c r="D171" t="s">
        <v>26</v>
      </c>
      <c r="E171" t="s">
        <v>27</v>
      </c>
      <c r="F171" t="s">
        <v>28</v>
      </c>
      <c r="G171" t="s">
        <v>42</v>
      </c>
      <c r="H171" t="s">
        <v>43</v>
      </c>
      <c r="I171" s="2">
        <v>11</v>
      </c>
      <c r="J171" s="2">
        <v>2500000</v>
      </c>
      <c r="K171" s="2">
        <v>27500000</v>
      </c>
      <c r="L171" s="3">
        <v>0.1</v>
      </c>
      <c r="M171" t="s">
        <v>77</v>
      </c>
      <c r="N171" t="s">
        <v>388</v>
      </c>
    </row>
    <row r="172" spans="1:14" x14ac:dyDescent="0.25">
      <c r="A172" t="s">
        <v>389</v>
      </c>
      <c r="B172" s="10">
        <v>46193</v>
      </c>
      <c r="C172" t="str">
        <f t="shared" si="3"/>
        <v>June</v>
      </c>
      <c r="D172" t="s">
        <v>92</v>
      </c>
      <c r="E172" t="s">
        <v>93</v>
      </c>
      <c r="F172" t="s">
        <v>16</v>
      </c>
      <c r="G172" t="s">
        <v>42</v>
      </c>
      <c r="H172" t="s">
        <v>43</v>
      </c>
      <c r="I172" s="2">
        <v>15</v>
      </c>
      <c r="J172" s="2">
        <v>1500000</v>
      </c>
      <c r="K172" s="2">
        <v>22500000</v>
      </c>
      <c r="L172" s="3">
        <v>0.1</v>
      </c>
      <c r="M172" t="s">
        <v>51</v>
      </c>
      <c r="N172" t="s">
        <v>390</v>
      </c>
    </row>
    <row r="173" spans="1:14" x14ac:dyDescent="0.25">
      <c r="A173" t="s">
        <v>391</v>
      </c>
      <c r="B173" s="10">
        <v>46063</v>
      </c>
      <c r="C173" t="str">
        <f t="shared" si="3"/>
        <v>February</v>
      </c>
      <c r="D173" t="s">
        <v>14</v>
      </c>
      <c r="E173" t="s">
        <v>15</v>
      </c>
      <c r="F173" t="s">
        <v>16</v>
      </c>
      <c r="G173" t="s">
        <v>42</v>
      </c>
      <c r="H173" t="s">
        <v>43</v>
      </c>
      <c r="I173" s="2">
        <v>6</v>
      </c>
      <c r="J173" s="2">
        <v>3500000</v>
      </c>
      <c r="K173" s="2">
        <v>21000000</v>
      </c>
      <c r="L173" s="3">
        <v>0.1</v>
      </c>
      <c r="M173" t="s">
        <v>51</v>
      </c>
      <c r="N173" t="s">
        <v>392</v>
      </c>
    </row>
    <row r="174" spans="1:14" x14ac:dyDescent="0.25">
      <c r="A174" t="s">
        <v>393</v>
      </c>
      <c r="B174" s="10">
        <v>46199</v>
      </c>
      <c r="C174" t="str">
        <f t="shared" si="3"/>
        <v>June</v>
      </c>
      <c r="D174" t="s">
        <v>58</v>
      </c>
      <c r="E174" t="s">
        <v>59</v>
      </c>
      <c r="F174" t="s">
        <v>28</v>
      </c>
      <c r="G174" t="s">
        <v>42</v>
      </c>
      <c r="H174" t="s">
        <v>43</v>
      </c>
      <c r="I174" s="2">
        <v>14</v>
      </c>
      <c r="J174" s="2">
        <v>5500000</v>
      </c>
      <c r="K174" s="2">
        <v>77000000</v>
      </c>
      <c r="L174" s="3">
        <v>0.1</v>
      </c>
      <c r="M174" t="s">
        <v>19</v>
      </c>
      <c r="N174" t="s">
        <v>394</v>
      </c>
    </row>
    <row r="175" spans="1:14" x14ac:dyDescent="0.25">
      <c r="A175" t="s">
        <v>395</v>
      </c>
      <c r="B175" s="10">
        <v>46241</v>
      </c>
      <c r="C175" t="str">
        <f t="shared" si="3"/>
        <v>August</v>
      </c>
      <c r="D175" t="s">
        <v>62</v>
      </c>
      <c r="E175" t="s">
        <v>63</v>
      </c>
      <c r="F175" t="s">
        <v>64</v>
      </c>
      <c r="G175" t="s">
        <v>17</v>
      </c>
      <c r="H175" t="s">
        <v>18</v>
      </c>
      <c r="I175" s="2">
        <v>4</v>
      </c>
      <c r="J175" s="2">
        <v>4000000</v>
      </c>
      <c r="K175" s="2">
        <v>16000000</v>
      </c>
      <c r="L175" s="3">
        <v>0.15</v>
      </c>
      <c r="M175" t="s">
        <v>31</v>
      </c>
      <c r="N175" t="s">
        <v>396</v>
      </c>
    </row>
    <row r="176" spans="1:14" x14ac:dyDescent="0.25">
      <c r="A176" t="s">
        <v>397</v>
      </c>
      <c r="B176" s="10">
        <v>46170</v>
      </c>
      <c r="C176" t="str">
        <f t="shared" si="3"/>
        <v>May</v>
      </c>
      <c r="D176" t="s">
        <v>58</v>
      </c>
      <c r="E176" t="s">
        <v>59</v>
      </c>
      <c r="F176" t="s">
        <v>28</v>
      </c>
      <c r="G176" t="s">
        <v>65</v>
      </c>
      <c r="H176" t="s">
        <v>66</v>
      </c>
      <c r="I176" s="2">
        <v>1</v>
      </c>
      <c r="J176" s="2">
        <v>5500000</v>
      </c>
      <c r="K176" s="2">
        <v>5500000</v>
      </c>
      <c r="L176" s="3">
        <v>0.15</v>
      </c>
      <c r="M176" t="s">
        <v>19</v>
      </c>
      <c r="N176" t="s">
        <v>398</v>
      </c>
    </row>
    <row r="177" spans="1:14" x14ac:dyDescent="0.25">
      <c r="A177" t="s">
        <v>399</v>
      </c>
      <c r="B177" s="10">
        <v>46167</v>
      </c>
      <c r="C177" t="str">
        <f t="shared" si="3"/>
        <v>May</v>
      </c>
      <c r="D177" t="s">
        <v>92</v>
      </c>
      <c r="E177" t="s">
        <v>93</v>
      </c>
      <c r="F177" t="s">
        <v>16</v>
      </c>
      <c r="G177" t="s">
        <v>22</v>
      </c>
      <c r="H177" t="s">
        <v>23</v>
      </c>
      <c r="I177" s="2">
        <v>12</v>
      </c>
      <c r="J177" s="2">
        <v>1500000</v>
      </c>
      <c r="K177" s="2">
        <v>18000000</v>
      </c>
      <c r="L177" s="3">
        <v>0.15</v>
      </c>
      <c r="M177" t="s">
        <v>19</v>
      </c>
      <c r="N177" t="s">
        <v>400</v>
      </c>
    </row>
    <row r="178" spans="1:14" x14ac:dyDescent="0.25">
      <c r="A178" t="s">
        <v>401</v>
      </c>
      <c r="B178" s="10">
        <v>46227</v>
      </c>
      <c r="C178" t="str">
        <f t="shared" si="3"/>
        <v>July</v>
      </c>
      <c r="D178" t="s">
        <v>26</v>
      </c>
      <c r="E178" t="s">
        <v>27</v>
      </c>
      <c r="F178" t="s">
        <v>28</v>
      </c>
      <c r="G178" t="s">
        <v>22</v>
      </c>
      <c r="H178" t="s">
        <v>23</v>
      </c>
      <c r="I178" s="2">
        <v>13</v>
      </c>
      <c r="J178" s="2">
        <v>2500000</v>
      </c>
      <c r="K178" s="2">
        <v>32500000</v>
      </c>
      <c r="L178" s="3">
        <v>0.1</v>
      </c>
      <c r="M178" t="s">
        <v>19</v>
      </c>
      <c r="N178" t="s">
        <v>402</v>
      </c>
    </row>
    <row r="179" spans="1:14" x14ac:dyDescent="0.25">
      <c r="A179" t="s">
        <v>403</v>
      </c>
      <c r="B179" s="10">
        <v>46071</v>
      </c>
      <c r="C179" t="str">
        <f t="shared" si="3"/>
        <v>February</v>
      </c>
      <c r="D179" t="s">
        <v>58</v>
      </c>
      <c r="E179" t="s">
        <v>59</v>
      </c>
      <c r="F179" t="s">
        <v>28</v>
      </c>
      <c r="G179" t="s">
        <v>29</v>
      </c>
      <c r="H179" t="s">
        <v>30</v>
      </c>
      <c r="I179" s="2">
        <v>11</v>
      </c>
      <c r="J179" s="2">
        <v>5500000</v>
      </c>
      <c r="K179" s="2">
        <v>60500000</v>
      </c>
      <c r="L179" s="3">
        <v>0</v>
      </c>
      <c r="M179" t="s">
        <v>51</v>
      </c>
      <c r="N179" t="s">
        <v>404</v>
      </c>
    </row>
    <row r="180" spans="1:14" x14ac:dyDescent="0.25">
      <c r="A180" t="s">
        <v>405</v>
      </c>
      <c r="B180" s="10">
        <v>46033</v>
      </c>
      <c r="C180" t="str">
        <f t="shared" si="3"/>
        <v>January</v>
      </c>
      <c r="D180" t="s">
        <v>58</v>
      </c>
      <c r="E180" t="s">
        <v>59</v>
      </c>
      <c r="F180" t="s">
        <v>28</v>
      </c>
      <c r="G180" t="s">
        <v>42</v>
      </c>
      <c r="H180" t="s">
        <v>43</v>
      </c>
      <c r="I180" s="2">
        <v>1</v>
      </c>
      <c r="J180" s="2">
        <v>5500000</v>
      </c>
      <c r="K180" s="2">
        <v>5500000</v>
      </c>
      <c r="L180" s="3">
        <v>0.1</v>
      </c>
      <c r="M180" t="s">
        <v>51</v>
      </c>
      <c r="N180" t="s">
        <v>406</v>
      </c>
    </row>
    <row r="181" spans="1:14" x14ac:dyDescent="0.25">
      <c r="A181" t="s">
        <v>407</v>
      </c>
      <c r="B181" s="10">
        <v>46046</v>
      </c>
      <c r="C181" t="str">
        <f t="shared" si="3"/>
        <v>January</v>
      </c>
      <c r="D181" t="s">
        <v>58</v>
      </c>
      <c r="E181" t="s">
        <v>59</v>
      </c>
      <c r="F181" t="s">
        <v>28</v>
      </c>
      <c r="G181" t="s">
        <v>65</v>
      </c>
      <c r="H181" t="s">
        <v>66</v>
      </c>
      <c r="I181" s="2">
        <v>12</v>
      </c>
      <c r="J181" s="2">
        <v>5500000</v>
      </c>
      <c r="K181" s="2">
        <v>66000000</v>
      </c>
      <c r="L181" s="3">
        <v>0.15</v>
      </c>
      <c r="M181" t="s">
        <v>19</v>
      </c>
      <c r="N181" t="s">
        <v>408</v>
      </c>
    </row>
    <row r="182" spans="1:14" x14ac:dyDescent="0.25">
      <c r="A182" t="s">
        <v>409</v>
      </c>
      <c r="B182" s="10">
        <v>46056</v>
      </c>
      <c r="C182" t="str">
        <f t="shared" si="3"/>
        <v>February</v>
      </c>
      <c r="D182" t="s">
        <v>46</v>
      </c>
      <c r="E182" t="s">
        <v>47</v>
      </c>
      <c r="F182" t="s">
        <v>48</v>
      </c>
      <c r="G182" t="s">
        <v>22</v>
      </c>
      <c r="H182" t="s">
        <v>23</v>
      </c>
      <c r="I182" s="2">
        <v>9</v>
      </c>
      <c r="J182" s="2">
        <v>750000</v>
      </c>
      <c r="K182" s="2">
        <v>6750000</v>
      </c>
      <c r="L182" s="3">
        <v>0.1</v>
      </c>
      <c r="M182" t="s">
        <v>19</v>
      </c>
      <c r="N182" t="s">
        <v>410</v>
      </c>
    </row>
    <row r="183" spans="1:14" x14ac:dyDescent="0.25">
      <c r="A183" t="s">
        <v>411</v>
      </c>
      <c r="B183" s="10">
        <v>46234</v>
      </c>
      <c r="C183" t="str">
        <f t="shared" si="3"/>
        <v>July</v>
      </c>
      <c r="D183" t="s">
        <v>62</v>
      </c>
      <c r="E183" t="s">
        <v>63</v>
      </c>
      <c r="F183" t="s">
        <v>64</v>
      </c>
      <c r="G183" t="s">
        <v>65</v>
      </c>
      <c r="H183" t="s">
        <v>66</v>
      </c>
      <c r="I183" s="2">
        <v>12</v>
      </c>
      <c r="J183" s="2">
        <v>4000000</v>
      </c>
      <c r="K183" s="2">
        <v>48000000</v>
      </c>
      <c r="L183" s="3">
        <v>0.1</v>
      </c>
      <c r="M183" t="s">
        <v>19</v>
      </c>
      <c r="N183" t="s">
        <v>412</v>
      </c>
    </row>
    <row r="184" spans="1:14" x14ac:dyDescent="0.25">
      <c r="A184" t="s">
        <v>413</v>
      </c>
      <c r="B184" s="10">
        <v>46042</v>
      </c>
      <c r="C184" t="str">
        <f t="shared" si="3"/>
        <v>January</v>
      </c>
      <c r="D184" t="s">
        <v>39</v>
      </c>
      <c r="E184" t="s">
        <v>40</v>
      </c>
      <c r="F184" t="s">
        <v>41</v>
      </c>
      <c r="G184" t="s">
        <v>29</v>
      </c>
      <c r="H184" t="s">
        <v>30</v>
      </c>
      <c r="I184" s="2">
        <v>14</v>
      </c>
      <c r="J184" s="2">
        <v>12000000</v>
      </c>
      <c r="K184" s="2">
        <v>168000000</v>
      </c>
      <c r="L184" s="3">
        <v>0.15</v>
      </c>
      <c r="M184" t="s">
        <v>31</v>
      </c>
      <c r="N184" t="s">
        <v>414</v>
      </c>
    </row>
    <row r="185" spans="1:14" x14ac:dyDescent="0.25">
      <c r="A185" t="s">
        <v>415</v>
      </c>
      <c r="B185" s="10">
        <v>46046</v>
      </c>
      <c r="C185" t="str">
        <f t="shared" si="3"/>
        <v>January</v>
      </c>
      <c r="D185" t="s">
        <v>34</v>
      </c>
      <c r="E185" t="s">
        <v>35</v>
      </c>
      <c r="F185" t="s">
        <v>36</v>
      </c>
      <c r="G185" t="s">
        <v>17</v>
      </c>
      <c r="H185" t="s">
        <v>18</v>
      </c>
      <c r="I185" s="2">
        <v>5</v>
      </c>
      <c r="J185" s="2">
        <v>2000000</v>
      </c>
      <c r="K185" s="2">
        <v>10000000</v>
      </c>
      <c r="L185" s="3">
        <v>0</v>
      </c>
      <c r="M185" t="s">
        <v>77</v>
      </c>
      <c r="N185" t="s">
        <v>416</v>
      </c>
    </row>
    <row r="186" spans="1:14" x14ac:dyDescent="0.25">
      <c r="A186" t="s">
        <v>417</v>
      </c>
      <c r="B186" s="10">
        <v>46195</v>
      </c>
      <c r="C186" t="str">
        <f t="shared" si="3"/>
        <v>June</v>
      </c>
      <c r="D186" t="s">
        <v>58</v>
      </c>
      <c r="E186" t="s">
        <v>59</v>
      </c>
      <c r="F186" t="s">
        <v>28</v>
      </c>
      <c r="G186" t="s">
        <v>22</v>
      </c>
      <c r="H186" t="s">
        <v>23</v>
      </c>
      <c r="I186" s="2">
        <v>7</v>
      </c>
      <c r="J186" s="2">
        <v>5500000</v>
      </c>
      <c r="K186" s="2">
        <v>38500000</v>
      </c>
      <c r="L186" s="3">
        <v>0.1</v>
      </c>
      <c r="M186" t="s">
        <v>19</v>
      </c>
      <c r="N186" t="s">
        <v>418</v>
      </c>
    </row>
    <row r="187" spans="1:14" x14ac:dyDescent="0.25">
      <c r="A187" t="s">
        <v>419</v>
      </c>
      <c r="B187" s="10">
        <v>46082</v>
      </c>
      <c r="C187" t="str">
        <f t="shared" si="3"/>
        <v>March</v>
      </c>
      <c r="D187" t="s">
        <v>62</v>
      </c>
      <c r="E187" t="s">
        <v>63</v>
      </c>
      <c r="F187" t="s">
        <v>64</v>
      </c>
      <c r="G187" t="s">
        <v>17</v>
      </c>
      <c r="H187" t="s">
        <v>18</v>
      </c>
      <c r="I187" s="2">
        <v>10</v>
      </c>
      <c r="J187" s="2">
        <v>4000000</v>
      </c>
      <c r="K187" s="2">
        <v>40000000</v>
      </c>
      <c r="L187" s="3">
        <v>0.1</v>
      </c>
      <c r="M187" t="s">
        <v>31</v>
      </c>
      <c r="N187" t="s">
        <v>420</v>
      </c>
    </row>
    <row r="188" spans="1:14" x14ac:dyDescent="0.25">
      <c r="A188" t="s">
        <v>421</v>
      </c>
      <c r="B188" s="10">
        <v>46188</v>
      </c>
      <c r="C188" t="str">
        <f t="shared" si="3"/>
        <v>June</v>
      </c>
      <c r="D188" t="s">
        <v>14</v>
      </c>
      <c r="E188" t="s">
        <v>15</v>
      </c>
      <c r="F188" t="s">
        <v>16</v>
      </c>
      <c r="G188" t="s">
        <v>42</v>
      </c>
      <c r="H188" t="s">
        <v>43</v>
      </c>
      <c r="I188" s="2">
        <v>15</v>
      </c>
      <c r="J188" s="2">
        <v>3500000</v>
      </c>
      <c r="K188" s="2">
        <v>52500000</v>
      </c>
      <c r="L188" s="3">
        <v>0.1</v>
      </c>
      <c r="M188" t="s">
        <v>51</v>
      </c>
      <c r="N188" t="s">
        <v>422</v>
      </c>
    </row>
    <row r="189" spans="1:14" x14ac:dyDescent="0.25">
      <c r="A189" t="s">
        <v>423</v>
      </c>
      <c r="B189" s="10">
        <v>46052</v>
      </c>
      <c r="C189" t="str">
        <f t="shared" si="3"/>
        <v>January</v>
      </c>
      <c r="D189" t="s">
        <v>39</v>
      </c>
      <c r="E189" t="s">
        <v>40</v>
      </c>
      <c r="F189" t="s">
        <v>41</v>
      </c>
      <c r="G189" t="s">
        <v>17</v>
      </c>
      <c r="H189" t="s">
        <v>18</v>
      </c>
      <c r="I189" s="2">
        <v>1</v>
      </c>
      <c r="J189" s="2">
        <v>12000000</v>
      </c>
      <c r="K189" s="2">
        <v>12000000</v>
      </c>
      <c r="L189" s="3">
        <v>0.1</v>
      </c>
      <c r="M189" t="s">
        <v>77</v>
      </c>
      <c r="N189" t="s">
        <v>424</v>
      </c>
    </row>
    <row r="190" spans="1:14" x14ac:dyDescent="0.25">
      <c r="A190" t="s">
        <v>425</v>
      </c>
      <c r="B190" s="10">
        <v>46047</v>
      </c>
      <c r="C190" t="str">
        <f t="shared" si="3"/>
        <v>January</v>
      </c>
      <c r="D190" t="s">
        <v>26</v>
      </c>
      <c r="E190" t="s">
        <v>27</v>
      </c>
      <c r="F190" t="s">
        <v>28</v>
      </c>
      <c r="G190" t="s">
        <v>22</v>
      </c>
      <c r="H190" t="s">
        <v>23</v>
      </c>
      <c r="I190" s="2">
        <v>3</v>
      </c>
      <c r="J190" s="2">
        <v>2500000</v>
      </c>
      <c r="K190" s="2">
        <v>7500000</v>
      </c>
      <c r="L190" s="3">
        <v>0.15</v>
      </c>
      <c r="M190" t="s">
        <v>77</v>
      </c>
      <c r="N190" t="s">
        <v>426</v>
      </c>
    </row>
    <row r="191" spans="1:14" x14ac:dyDescent="0.25">
      <c r="A191" t="s">
        <v>427</v>
      </c>
      <c r="B191" s="10">
        <v>46194</v>
      </c>
      <c r="C191" t="str">
        <f t="shared" si="3"/>
        <v>June</v>
      </c>
      <c r="D191" t="s">
        <v>34</v>
      </c>
      <c r="E191" t="s">
        <v>35</v>
      </c>
      <c r="F191" t="s">
        <v>36</v>
      </c>
      <c r="G191" t="s">
        <v>22</v>
      </c>
      <c r="H191" t="s">
        <v>23</v>
      </c>
      <c r="I191" s="2">
        <v>12</v>
      </c>
      <c r="J191" s="2">
        <v>2000000</v>
      </c>
      <c r="K191" s="2">
        <v>24000000</v>
      </c>
      <c r="L191" s="3">
        <v>0.05</v>
      </c>
      <c r="M191" t="s">
        <v>77</v>
      </c>
      <c r="N191" t="s">
        <v>428</v>
      </c>
    </row>
    <row r="192" spans="1:14" x14ac:dyDescent="0.25">
      <c r="A192" t="s">
        <v>429</v>
      </c>
      <c r="B192" s="10">
        <v>46048</v>
      </c>
      <c r="C192" t="str">
        <f t="shared" si="3"/>
        <v>January</v>
      </c>
      <c r="D192" t="s">
        <v>62</v>
      </c>
      <c r="E192" t="s">
        <v>63</v>
      </c>
      <c r="F192" t="s">
        <v>64</v>
      </c>
      <c r="G192" t="s">
        <v>22</v>
      </c>
      <c r="H192" t="s">
        <v>23</v>
      </c>
      <c r="I192" s="2">
        <v>7</v>
      </c>
      <c r="J192" s="2">
        <v>4000000</v>
      </c>
      <c r="K192" s="2">
        <v>28000000</v>
      </c>
      <c r="L192" s="3">
        <v>0.1</v>
      </c>
      <c r="M192" t="s">
        <v>19</v>
      </c>
      <c r="N192" t="s">
        <v>430</v>
      </c>
    </row>
    <row r="193" spans="1:14" x14ac:dyDescent="0.25">
      <c r="A193" t="s">
        <v>431</v>
      </c>
      <c r="B193" s="10">
        <v>46117</v>
      </c>
      <c r="C193" t="str">
        <f t="shared" si="3"/>
        <v>April</v>
      </c>
      <c r="D193" t="s">
        <v>26</v>
      </c>
      <c r="E193" t="s">
        <v>27</v>
      </c>
      <c r="F193" t="s">
        <v>28</v>
      </c>
      <c r="G193" t="s">
        <v>42</v>
      </c>
      <c r="H193" t="s">
        <v>43</v>
      </c>
      <c r="I193" s="2">
        <v>8</v>
      </c>
      <c r="J193" s="2">
        <v>2500000</v>
      </c>
      <c r="K193" s="2">
        <v>20000000</v>
      </c>
      <c r="L193" s="3">
        <v>0.05</v>
      </c>
      <c r="M193" t="s">
        <v>19</v>
      </c>
      <c r="N193" t="s">
        <v>432</v>
      </c>
    </row>
    <row r="194" spans="1:14" x14ac:dyDescent="0.25">
      <c r="A194" t="s">
        <v>433</v>
      </c>
      <c r="B194" s="10">
        <v>46198</v>
      </c>
      <c r="C194" t="str">
        <f t="shared" si="3"/>
        <v>June</v>
      </c>
      <c r="D194" t="s">
        <v>46</v>
      </c>
      <c r="E194" t="s">
        <v>47</v>
      </c>
      <c r="F194" t="s">
        <v>48</v>
      </c>
      <c r="G194" t="s">
        <v>22</v>
      </c>
      <c r="H194" t="s">
        <v>23</v>
      </c>
      <c r="I194" s="2">
        <v>15</v>
      </c>
      <c r="J194" s="2">
        <v>750000</v>
      </c>
      <c r="K194" s="2">
        <v>11250000</v>
      </c>
      <c r="L194" s="3">
        <v>0.1</v>
      </c>
      <c r="M194" t="s">
        <v>19</v>
      </c>
      <c r="N194" t="s">
        <v>434</v>
      </c>
    </row>
    <row r="195" spans="1:14" x14ac:dyDescent="0.25">
      <c r="A195" t="s">
        <v>435</v>
      </c>
      <c r="B195" s="10">
        <v>46093</v>
      </c>
      <c r="C195" t="str">
        <f t="shared" ref="C195:C258" si="4">TEXT(B195, "MMMM")</f>
        <v>March</v>
      </c>
      <c r="D195" t="s">
        <v>26</v>
      </c>
      <c r="E195" t="s">
        <v>27</v>
      </c>
      <c r="F195" t="s">
        <v>28</v>
      </c>
      <c r="G195" t="s">
        <v>17</v>
      </c>
      <c r="H195" t="s">
        <v>18</v>
      </c>
      <c r="I195" s="2">
        <v>14</v>
      </c>
      <c r="J195" s="2">
        <v>2500000</v>
      </c>
      <c r="K195" s="2">
        <v>35000000</v>
      </c>
      <c r="L195" s="3">
        <v>0.15</v>
      </c>
      <c r="M195" t="s">
        <v>19</v>
      </c>
      <c r="N195" t="s">
        <v>436</v>
      </c>
    </row>
    <row r="196" spans="1:14" x14ac:dyDescent="0.25">
      <c r="A196" t="s">
        <v>437</v>
      </c>
      <c r="B196" s="10">
        <v>46077</v>
      </c>
      <c r="C196" t="str">
        <f t="shared" si="4"/>
        <v>February</v>
      </c>
      <c r="D196" t="s">
        <v>92</v>
      </c>
      <c r="E196" t="s">
        <v>93</v>
      </c>
      <c r="F196" t="s">
        <v>16</v>
      </c>
      <c r="G196" t="s">
        <v>17</v>
      </c>
      <c r="H196" t="s">
        <v>18</v>
      </c>
      <c r="I196" s="2">
        <v>13</v>
      </c>
      <c r="J196" s="2">
        <v>1500000</v>
      </c>
      <c r="K196" s="2">
        <v>19500000</v>
      </c>
      <c r="L196" s="3">
        <v>0.1</v>
      </c>
      <c r="M196" t="s">
        <v>19</v>
      </c>
      <c r="N196" t="s">
        <v>438</v>
      </c>
    </row>
    <row r="197" spans="1:14" x14ac:dyDescent="0.25">
      <c r="A197" t="s">
        <v>439</v>
      </c>
      <c r="B197" s="10">
        <v>46224</v>
      </c>
      <c r="C197" t="str">
        <f t="shared" si="4"/>
        <v>July</v>
      </c>
      <c r="D197" t="s">
        <v>26</v>
      </c>
      <c r="E197" t="s">
        <v>27</v>
      </c>
      <c r="F197" t="s">
        <v>28</v>
      </c>
      <c r="G197" t="s">
        <v>17</v>
      </c>
      <c r="H197" t="s">
        <v>18</v>
      </c>
      <c r="I197" s="2">
        <v>14</v>
      </c>
      <c r="J197" s="2">
        <v>2500000</v>
      </c>
      <c r="K197" s="2">
        <v>35000000</v>
      </c>
      <c r="L197" s="3">
        <v>0.05</v>
      </c>
      <c r="M197" t="s">
        <v>31</v>
      </c>
      <c r="N197" t="s">
        <v>440</v>
      </c>
    </row>
    <row r="198" spans="1:14" x14ac:dyDescent="0.25">
      <c r="A198" t="s">
        <v>441</v>
      </c>
      <c r="B198" s="10">
        <v>46231</v>
      </c>
      <c r="C198" t="str">
        <f t="shared" si="4"/>
        <v>July</v>
      </c>
      <c r="D198" t="s">
        <v>26</v>
      </c>
      <c r="E198" t="s">
        <v>27</v>
      </c>
      <c r="F198" t="s">
        <v>28</v>
      </c>
      <c r="G198" t="s">
        <v>65</v>
      </c>
      <c r="H198" t="s">
        <v>66</v>
      </c>
      <c r="I198" s="2">
        <v>13</v>
      </c>
      <c r="J198" s="2">
        <v>2500000</v>
      </c>
      <c r="K198" s="2">
        <v>32500000</v>
      </c>
      <c r="L198" s="3">
        <v>0.05</v>
      </c>
      <c r="M198" t="s">
        <v>31</v>
      </c>
      <c r="N198" t="s">
        <v>442</v>
      </c>
    </row>
    <row r="199" spans="1:14" x14ac:dyDescent="0.25">
      <c r="A199" t="s">
        <v>443</v>
      </c>
      <c r="B199" s="10">
        <v>46093</v>
      </c>
      <c r="C199" t="str">
        <f t="shared" si="4"/>
        <v>March</v>
      </c>
      <c r="D199" t="s">
        <v>39</v>
      </c>
      <c r="E199" t="s">
        <v>40</v>
      </c>
      <c r="F199" t="s">
        <v>41</v>
      </c>
      <c r="G199" t="s">
        <v>29</v>
      </c>
      <c r="H199" t="s">
        <v>30</v>
      </c>
      <c r="I199" s="2">
        <v>9</v>
      </c>
      <c r="J199" s="2">
        <v>12000000</v>
      </c>
      <c r="K199" s="2">
        <v>108000000</v>
      </c>
      <c r="L199" s="3">
        <v>0.1</v>
      </c>
      <c r="M199" t="s">
        <v>19</v>
      </c>
      <c r="N199" t="s">
        <v>444</v>
      </c>
    </row>
    <row r="200" spans="1:14" x14ac:dyDescent="0.25">
      <c r="A200" t="s">
        <v>445</v>
      </c>
      <c r="B200" s="10">
        <v>46192</v>
      </c>
      <c r="C200" t="str">
        <f t="shared" si="4"/>
        <v>June</v>
      </c>
      <c r="D200" t="s">
        <v>92</v>
      </c>
      <c r="E200" t="s">
        <v>93</v>
      </c>
      <c r="F200" t="s">
        <v>16</v>
      </c>
      <c r="G200" t="s">
        <v>29</v>
      </c>
      <c r="H200" t="s">
        <v>30</v>
      </c>
      <c r="I200" s="2">
        <v>1</v>
      </c>
      <c r="J200" s="2">
        <v>1500000</v>
      </c>
      <c r="K200" s="2">
        <v>1500000</v>
      </c>
      <c r="L200" s="3">
        <v>0.1</v>
      </c>
      <c r="M200" t="s">
        <v>19</v>
      </c>
      <c r="N200" t="s">
        <v>446</v>
      </c>
    </row>
    <row r="201" spans="1:14" x14ac:dyDescent="0.25">
      <c r="A201" t="s">
        <v>447</v>
      </c>
      <c r="B201" s="10">
        <v>46105</v>
      </c>
      <c r="C201" t="str">
        <f t="shared" si="4"/>
        <v>March</v>
      </c>
      <c r="D201" t="s">
        <v>92</v>
      </c>
      <c r="E201" t="s">
        <v>93</v>
      </c>
      <c r="F201" t="s">
        <v>16</v>
      </c>
      <c r="G201" t="s">
        <v>29</v>
      </c>
      <c r="H201" t="s">
        <v>30</v>
      </c>
      <c r="I201" s="2">
        <v>5</v>
      </c>
      <c r="J201" s="2">
        <v>1500000</v>
      </c>
      <c r="K201" s="2">
        <v>7500000</v>
      </c>
      <c r="L201" s="3">
        <v>0</v>
      </c>
      <c r="M201" t="s">
        <v>19</v>
      </c>
      <c r="N201" t="s">
        <v>448</v>
      </c>
    </row>
    <row r="202" spans="1:14" x14ac:dyDescent="0.25">
      <c r="A202" t="s">
        <v>449</v>
      </c>
      <c r="B202" s="10">
        <v>46130</v>
      </c>
      <c r="C202" t="str">
        <f t="shared" si="4"/>
        <v>April</v>
      </c>
      <c r="D202" t="s">
        <v>14</v>
      </c>
      <c r="E202" t="s">
        <v>15</v>
      </c>
      <c r="F202" t="s">
        <v>16</v>
      </c>
      <c r="G202" t="s">
        <v>17</v>
      </c>
      <c r="H202" t="s">
        <v>18</v>
      </c>
      <c r="I202" s="2">
        <v>8</v>
      </c>
      <c r="J202" s="2">
        <v>3500000</v>
      </c>
      <c r="K202" s="2">
        <v>28000000</v>
      </c>
      <c r="L202" s="3">
        <v>0.15</v>
      </c>
      <c r="M202" t="s">
        <v>19</v>
      </c>
      <c r="N202" t="s">
        <v>450</v>
      </c>
    </row>
    <row r="203" spans="1:14" x14ac:dyDescent="0.25">
      <c r="A203" t="s">
        <v>451</v>
      </c>
      <c r="B203" s="10">
        <v>46174</v>
      </c>
      <c r="C203" t="str">
        <f t="shared" si="4"/>
        <v>June</v>
      </c>
      <c r="D203" t="s">
        <v>14</v>
      </c>
      <c r="E203" t="s">
        <v>15</v>
      </c>
      <c r="F203" t="s">
        <v>16</v>
      </c>
      <c r="G203" t="s">
        <v>42</v>
      </c>
      <c r="H203" t="s">
        <v>43</v>
      </c>
      <c r="I203" s="2">
        <v>9</v>
      </c>
      <c r="J203" s="2">
        <v>3500000</v>
      </c>
      <c r="K203" s="2">
        <v>31500000</v>
      </c>
      <c r="L203" s="3">
        <v>0.05</v>
      </c>
      <c r="M203" t="s">
        <v>31</v>
      </c>
      <c r="N203" t="s">
        <v>452</v>
      </c>
    </row>
    <row r="204" spans="1:14" x14ac:dyDescent="0.25">
      <c r="A204" t="s">
        <v>453</v>
      </c>
      <c r="B204" s="10">
        <v>46209</v>
      </c>
      <c r="C204" t="str">
        <f t="shared" si="4"/>
        <v>July</v>
      </c>
      <c r="D204" t="s">
        <v>58</v>
      </c>
      <c r="E204" t="s">
        <v>59</v>
      </c>
      <c r="F204" t="s">
        <v>28</v>
      </c>
      <c r="G204" t="s">
        <v>42</v>
      </c>
      <c r="H204" t="s">
        <v>43</v>
      </c>
      <c r="I204" s="2">
        <v>11</v>
      </c>
      <c r="J204" s="2">
        <v>5500000</v>
      </c>
      <c r="K204" s="2">
        <v>60500000</v>
      </c>
      <c r="L204" s="3">
        <v>0</v>
      </c>
      <c r="M204" t="s">
        <v>19</v>
      </c>
      <c r="N204" t="s">
        <v>454</v>
      </c>
    </row>
    <row r="205" spans="1:14" x14ac:dyDescent="0.25">
      <c r="A205" t="s">
        <v>455</v>
      </c>
      <c r="B205" s="10">
        <v>46239</v>
      </c>
      <c r="C205" t="str">
        <f t="shared" si="4"/>
        <v>August</v>
      </c>
      <c r="D205" t="s">
        <v>34</v>
      </c>
      <c r="E205" t="s">
        <v>35</v>
      </c>
      <c r="F205" t="s">
        <v>36</v>
      </c>
      <c r="G205" t="s">
        <v>42</v>
      </c>
      <c r="H205" t="s">
        <v>43</v>
      </c>
      <c r="I205" s="2">
        <v>11</v>
      </c>
      <c r="J205" s="2">
        <v>2000000</v>
      </c>
      <c r="K205" s="2">
        <v>22000000</v>
      </c>
      <c r="L205" s="3">
        <v>0</v>
      </c>
      <c r="M205" t="s">
        <v>77</v>
      </c>
      <c r="N205" t="s">
        <v>456</v>
      </c>
    </row>
    <row r="206" spans="1:14" x14ac:dyDescent="0.25">
      <c r="A206" t="s">
        <v>457</v>
      </c>
      <c r="B206" s="10">
        <v>46136</v>
      </c>
      <c r="C206" t="str">
        <f t="shared" si="4"/>
        <v>April</v>
      </c>
      <c r="D206" t="s">
        <v>14</v>
      </c>
      <c r="E206" t="s">
        <v>15</v>
      </c>
      <c r="F206" t="s">
        <v>16</v>
      </c>
      <c r="G206" t="s">
        <v>17</v>
      </c>
      <c r="H206" t="s">
        <v>18</v>
      </c>
      <c r="I206" s="2">
        <v>6</v>
      </c>
      <c r="J206" s="2">
        <v>3500000</v>
      </c>
      <c r="K206" s="2">
        <v>21000000</v>
      </c>
      <c r="L206" s="3">
        <v>0.05</v>
      </c>
      <c r="M206" t="s">
        <v>19</v>
      </c>
      <c r="N206" t="s">
        <v>458</v>
      </c>
    </row>
    <row r="207" spans="1:14" x14ac:dyDescent="0.25">
      <c r="A207" t="s">
        <v>459</v>
      </c>
      <c r="B207" s="10">
        <v>46093</v>
      </c>
      <c r="C207" t="str">
        <f t="shared" si="4"/>
        <v>March</v>
      </c>
      <c r="D207" t="s">
        <v>46</v>
      </c>
      <c r="E207" t="s">
        <v>47</v>
      </c>
      <c r="F207" t="s">
        <v>48</v>
      </c>
      <c r="G207" t="s">
        <v>42</v>
      </c>
      <c r="H207" t="s">
        <v>43</v>
      </c>
      <c r="I207" s="2">
        <v>10</v>
      </c>
      <c r="J207" s="2">
        <v>750000</v>
      </c>
      <c r="K207" s="2">
        <v>7500000</v>
      </c>
      <c r="L207" s="3">
        <v>0.1</v>
      </c>
      <c r="M207" t="s">
        <v>77</v>
      </c>
      <c r="N207" t="s">
        <v>460</v>
      </c>
    </row>
    <row r="208" spans="1:14" x14ac:dyDescent="0.25">
      <c r="A208" t="s">
        <v>461</v>
      </c>
      <c r="B208" s="10">
        <v>46177</v>
      </c>
      <c r="C208" t="str">
        <f t="shared" si="4"/>
        <v>June</v>
      </c>
      <c r="D208" t="s">
        <v>34</v>
      </c>
      <c r="E208" t="s">
        <v>35</v>
      </c>
      <c r="F208" t="s">
        <v>36</v>
      </c>
      <c r="G208" t="s">
        <v>17</v>
      </c>
      <c r="H208" t="s">
        <v>18</v>
      </c>
      <c r="I208" s="2">
        <v>13</v>
      </c>
      <c r="J208" s="2">
        <v>2000000</v>
      </c>
      <c r="K208" s="2">
        <v>26000000</v>
      </c>
      <c r="L208" s="3">
        <v>0</v>
      </c>
      <c r="M208" t="s">
        <v>51</v>
      </c>
      <c r="N208" t="s">
        <v>462</v>
      </c>
    </row>
    <row r="209" spans="1:14" x14ac:dyDescent="0.25">
      <c r="A209" t="s">
        <v>463</v>
      </c>
      <c r="B209" s="10">
        <v>46219</v>
      </c>
      <c r="C209" t="str">
        <f t="shared" si="4"/>
        <v>July</v>
      </c>
      <c r="D209" t="s">
        <v>26</v>
      </c>
      <c r="E209" t="s">
        <v>27</v>
      </c>
      <c r="F209" t="s">
        <v>28</v>
      </c>
      <c r="G209" t="s">
        <v>42</v>
      </c>
      <c r="H209" t="s">
        <v>43</v>
      </c>
      <c r="I209" s="2">
        <v>8</v>
      </c>
      <c r="J209" s="2">
        <v>2500000</v>
      </c>
      <c r="K209" s="2">
        <v>20000000</v>
      </c>
      <c r="L209" s="3">
        <v>0.05</v>
      </c>
      <c r="M209" t="s">
        <v>77</v>
      </c>
      <c r="N209" t="s">
        <v>464</v>
      </c>
    </row>
    <row r="210" spans="1:14" x14ac:dyDescent="0.25">
      <c r="A210" t="s">
        <v>465</v>
      </c>
      <c r="B210" s="10">
        <v>46234</v>
      </c>
      <c r="C210" t="str">
        <f t="shared" si="4"/>
        <v>July</v>
      </c>
      <c r="D210" t="s">
        <v>62</v>
      </c>
      <c r="E210" t="s">
        <v>63</v>
      </c>
      <c r="F210" t="s">
        <v>64</v>
      </c>
      <c r="G210" t="s">
        <v>42</v>
      </c>
      <c r="H210" t="s">
        <v>43</v>
      </c>
      <c r="I210" s="2">
        <v>7</v>
      </c>
      <c r="J210" s="2">
        <v>4000000</v>
      </c>
      <c r="K210" s="2">
        <v>28000000</v>
      </c>
      <c r="L210" s="3">
        <v>0</v>
      </c>
      <c r="M210" t="s">
        <v>19</v>
      </c>
      <c r="N210" t="s">
        <v>466</v>
      </c>
    </row>
    <row r="211" spans="1:14" x14ac:dyDescent="0.25">
      <c r="A211" t="s">
        <v>467</v>
      </c>
      <c r="B211" s="10">
        <v>46103</v>
      </c>
      <c r="C211" t="str">
        <f t="shared" si="4"/>
        <v>March</v>
      </c>
      <c r="D211" t="s">
        <v>58</v>
      </c>
      <c r="E211" t="s">
        <v>59</v>
      </c>
      <c r="F211" t="s">
        <v>28</v>
      </c>
      <c r="G211" t="s">
        <v>65</v>
      </c>
      <c r="H211" t="s">
        <v>66</v>
      </c>
      <c r="I211" s="2">
        <v>3</v>
      </c>
      <c r="J211" s="2">
        <v>5500000</v>
      </c>
      <c r="K211" s="2">
        <v>16500000</v>
      </c>
      <c r="L211" s="3">
        <v>0.15</v>
      </c>
      <c r="M211" t="s">
        <v>19</v>
      </c>
      <c r="N211" t="s">
        <v>468</v>
      </c>
    </row>
    <row r="212" spans="1:14" x14ac:dyDescent="0.25">
      <c r="A212" t="s">
        <v>469</v>
      </c>
      <c r="B212" s="10">
        <v>46235</v>
      </c>
      <c r="C212" t="str">
        <f t="shared" si="4"/>
        <v>August</v>
      </c>
      <c r="D212" t="s">
        <v>14</v>
      </c>
      <c r="E212" t="s">
        <v>15</v>
      </c>
      <c r="F212" t="s">
        <v>16</v>
      </c>
      <c r="G212" t="s">
        <v>17</v>
      </c>
      <c r="H212" t="s">
        <v>18</v>
      </c>
      <c r="I212" s="2">
        <v>7</v>
      </c>
      <c r="J212" s="2">
        <v>3500000</v>
      </c>
      <c r="K212" s="2">
        <v>24500000</v>
      </c>
      <c r="L212" s="3">
        <v>0</v>
      </c>
      <c r="M212" t="s">
        <v>51</v>
      </c>
      <c r="N212" t="s">
        <v>470</v>
      </c>
    </row>
    <row r="213" spans="1:14" x14ac:dyDescent="0.25">
      <c r="A213" t="s">
        <v>471</v>
      </c>
      <c r="B213" s="10">
        <v>46118</v>
      </c>
      <c r="C213" t="str">
        <f t="shared" si="4"/>
        <v>April</v>
      </c>
      <c r="D213" t="s">
        <v>39</v>
      </c>
      <c r="E213" t="s">
        <v>40</v>
      </c>
      <c r="F213" t="s">
        <v>41</v>
      </c>
      <c r="G213" t="s">
        <v>22</v>
      </c>
      <c r="H213" t="s">
        <v>23</v>
      </c>
      <c r="I213" s="2">
        <v>1</v>
      </c>
      <c r="J213" s="2">
        <v>12000000</v>
      </c>
      <c r="K213" s="2">
        <v>12000000</v>
      </c>
      <c r="L213" s="3">
        <v>0.1</v>
      </c>
      <c r="M213" t="s">
        <v>51</v>
      </c>
      <c r="N213" t="s">
        <v>472</v>
      </c>
    </row>
    <row r="214" spans="1:14" x14ac:dyDescent="0.25">
      <c r="A214" t="s">
        <v>473</v>
      </c>
      <c r="B214" s="10">
        <v>46128</v>
      </c>
      <c r="C214" t="str">
        <f t="shared" si="4"/>
        <v>April</v>
      </c>
      <c r="D214" t="s">
        <v>46</v>
      </c>
      <c r="E214" t="s">
        <v>47</v>
      </c>
      <c r="F214" t="s">
        <v>48</v>
      </c>
      <c r="G214" t="s">
        <v>42</v>
      </c>
      <c r="H214" t="s">
        <v>43</v>
      </c>
      <c r="I214" s="2">
        <v>14</v>
      </c>
      <c r="J214" s="2">
        <v>750000</v>
      </c>
      <c r="K214" s="2">
        <v>10500000</v>
      </c>
      <c r="L214" s="3">
        <v>0</v>
      </c>
      <c r="M214" t="s">
        <v>19</v>
      </c>
      <c r="N214" t="s">
        <v>474</v>
      </c>
    </row>
    <row r="215" spans="1:14" x14ac:dyDescent="0.25">
      <c r="A215" t="s">
        <v>475</v>
      </c>
      <c r="B215" s="10">
        <v>46102</v>
      </c>
      <c r="C215" t="str">
        <f t="shared" si="4"/>
        <v>March</v>
      </c>
      <c r="D215" t="s">
        <v>46</v>
      </c>
      <c r="E215" t="s">
        <v>47</v>
      </c>
      <c r="F215" t="s">
        <v>48</v>
      </c>
      <c r="G215" t="s">
        <v>17</v>
      </c>
      <c r="H215" t="s">
        <v>18</v>
      </c>
      <c r="I215" s="2">
        <v>10</v>
      </c>
      <c r="J215" s="2">
        <v>750000</v>
      </c>
      <c r="K215" s="2">
        <v>7500000</v>
      </c>
      <c r="L215" s="3">
        <v>0.05</v>
      </c>
      <c r="M215" t="s">
        <v>19</v>
      </c>
      <c r="N215" t="s">
        <v>476</v>
      </c>
    </row>
    <row r="216" spans="1:14" x14ac:dyDescent="0.25">
      <c r="A216" t="s">
        <v>477</v>
      </c>
      <c r="B216" s="10">
        <v>46146</v>
      </c>
      <c r="C216" t="str">
        <f t="shared" si="4"/>
        <v>May</v>
      </c>
      <c r="D216" t="s">
        <v>26</v>
      </c>
      <c r="E216" t="s">
        <v>27</v>
      </c>
      <c r="F216" t="s">
        <v>28</v>
      </c>
      <c r="G216" t="s">
        <v>17</v>
      </c>
      <c r="H216" t="s">
        <v>18</v>
      </c>
      <c r="I216" s="2">
        <v>6</v>
      </c>
      <c r="J216" s="2">
        <v>2500000</v>
      </c>
      <c r="K216" s="2">
        <v>15000000</v>
      </c>
      <c r="L216" s="3">
        <v>0.1</v>
      </c>
      <c r="M216" t="s">
        <v>19</v>
      </c>
      <c r="N216" t="s">
        <v>478</v>
      </c>
    </row>
    <row r="217" spans="1:14" x14ac:dyDescent="0.25">
      <c r="A217" t="s">
        <v>479</v>
      </c>
      <c r="B217" s="10">
        <v>46094</v>
      </c>
      <c r="C217" t="str">
        <f t="shared" si="4"/>
        <v>March</v>
      </c>
      <c r="D217" t="s">
        <v>26</v>
      </c>
      <c r="E217" t="s">
        <v>27</v>
      </c>
      <c r="F217" t="s">
        <v>28</v>
      </c>
      <c r="G217" t="s">
        <v>42</v>
      </c>
      <c r="H217" t="s">
        <v>43</v>
      </c>
      <c r="I217" s="2">
        <v>14</v>
      </c>
      <c r="J217" s="2">
        <v>2500000</v>
      </c>
      <c r="K217" s="2">
        <v>35000000</v>
      </c>
      <c r="L217" s="3">
        <v>0</v>
      </c>
      <c r="M217" t="s">
        <v>31</v>
      </c>
      <c r="N217" t="s">
        <v>480</v>
      </c>
    </row>
    <row r="218" spans="1:14" x14ac:dyDescent="0.25">
      <c r="A218" t="s">
        <v>481</v>
      </c>
      <c r="B218" s="10">
        <v>46235</v>
      </c>
      <c r="C218" t="str">
        <f t="shared" si="4"/>
        <v>August</v>
      </c>
      <c r="D218" t="s">
        <v>58</v>
      </c>
      <c r="E218" t="s">
        <v>59</v>
      </c>
      <c r="F218" t="s">
        <v>28</v>
      </c>
      <c r="G218" t="s">
        <v>17</v>
      </c>
      <c r="H218" t="s">
        <v>18</v>
      </c>
      <c r="I218" s="2">
        <v>3</v>
      </c>
      <c r="J218" s="2">
        <v>5500000</v>
      </c>
      <c r="K218" s="2">
        <v>16500000</v>
      </c>
      <c r="L218" s="3">
        <v>0.1</v>
      </c>
      <c r="M218" t="s">
        <v>51</v>
      </c>
      <c r="N218" t="s">
        <v>482</v>
      </c>
    </row>
    <row r="219" spans="1:14" x14ac:dyDescent="0.25">
      <c r="A219" t="s">
        <v>483</v>
      </c>
      <c r="B219" s="10">
        <v>46102</v>
      </c>
      <c r="C219" t="str">
        <f t="shared" si="4"/>
        <v>March</v>
      </c>
      <c r="D219" t="s">
        <v>46</v>
      </c>
      <c r="E219" t="s">
        <v>47</v>
      </c>
      <c r="F219" t="s">
        <v>48</v>
      </c>
      <c r="G219" t="s">
        <v>65</v>
      </c>
      <c r="H219" t="s">
        <v>66</v>
      </c>
      <c r="I219" s="2">
        <v>1</v>
      </c>
      <c r="J219" s="2">
        <v>750000</v>
      </c>
      <c r="K219" s="2">
        <v>750000</v>
      </c>
      <c r="L219" s="3">
        <v>0.05</v>
      </c>
      <c r="M219" t="s">
        <v>19</v>
      </c>
      <c r="N219" t="s">
        <v>484</v>
      </c>
    </row>
    <row r="220" spans="1:14" x14ac:dyDescent="0.25">
      <c r="A220" t="s">
        <v>485</v>
      </c>
      <c r="B220" s="10">
        <v>46191</v>
      </c>
      <c r="C220" t="str">
        <f t="shared" si="4"/>
        <v>June</v>
      </c>
      <c r="D220" t="s">
        <v>34</v>
      </c>
      <c r="E220" t="s">
        <v>35</v>
      </c>
      <c r="F220" t="s">
        <v>36</v>
      </c>
      <c r="G220" t="s">
        <v>17</v>
      </c>
      <c r="H220" t="s">
        <v>18</v>
      </c>
      <c r="I220" s="2">
        <v>3</v>
      </c>
      <c r="J220" s="2">
        <v>2000000</v>
      </c>
      <c r="K220" s="2">
        <v>6000000</v>
      </c>
      <c r="L220" s="3">
        <v>0</v>
      </c>
      <c r="M220" t="s">
        <v>19</v>
      </c>
      <c r="N220" t="s">
        <v>486</v>
      </c>
    </row>
    <row r="221" spans="1:14" x14ac:dyDescent="0.25">
      <c r="A221" t="s">
        <v>487</v>
      </c>
      <c r="B221" s="10">
        <v>46158</v>
      </c>
      <c r="C221" t="str">
        <f t="shared" si="4"/>
        <v>May</v>
      </c>
      <c r="D221" t="s">
        <v>26</v>
      </c>
      <c r="E221" t="s">
        <v>27</v>
      </c>
      <c r="F221" t="s">
        <v>28</v>
      </c>
      <c r="G221" t="s">
        <v>42</v>
      </c>
      <c r="H221" t="s">
        <v>43</v>
      </c>
      <c r="I221" s="2">
        <v>7</v>
      </c>
      <c r="J221" s="2">
        <v>2500000</v>
      </c>
      <c r="K221" s="2">
        <v>17500000</v>
      </c>
      <c r="L221" s="3">
        <v>0.15</v>
      </c>
      <c r="M221" t="s">
        <v>19</v>
      </c>
      <c r="N221" t="s">
        <v>488</v>
      </c>
    </row>
    <row r="222" spans="1:14" x14ac:dyDescent="0.25">
      <c r="A222" t="s">
        <v>489</v>
      </c>
      <c r="B222" s="10">
        <v>46117</v>
      </c>
      <c r="C222" t="str">
        <f t="shared" si="4"/>
        <v>April</v>
      </c>
      <c r="D222" t="s">
        <v>58</v>
      </c>
      <c r="E222" t="s">
        <v>59</v>
      </c>
      <c r="F222" t="s">
        <v>28</v>
      </c>
      <c r="G222" t="s">
        <v>65</v>
      </c>
      <c r="H222" t="s">
        <v>66</v>
      </c>
      <c r="I222" s="2">
        <v>13</v>
      </c>
      <c r="J222" s="2">
        <v>5500000</v>
      </c>
      <c r="K222" s="2">
        <v>71500000</v>
      </c>
      <c r="L222" s="3">
        <v>0</v>
      </c>
      <c r="M222" t="s">
        <v>19</v>
      </c>
      <c r="N222" t="s">
        <v>490</v>
      </c>
    </row>
    <row r="223" spans="1:14" x14ac:dyDescent="0.25">
      <c r="A223" t="s">
        <v>491</v>
      </c>
      <c r="B223" s="10">
        <v>46063</v>
      </c>
      <c r="C223" t="str">
        <f t="shared" si="4"/>
        <v>February</v>
      </c>
      <c r="D223" t="s">
        <v>92</v>
      </c>
      <c r="E223" t="s">
        <v>93</v>
      </c>
      <c r="F223" t="s">
        <v>16</v>
      </c>
      <c r="G223" t="s">
        <v>17</v>
      </c>
      <c r="H223" t="s">
        <v>18</v>
      </c>
      <c r="I223" s="2">
        <v>5</v>
      </c>
      <c r="J223" s="2">
        <v>1500000</v>
      </c>
      <c r="K223" s="2">
        <v>7500000</v>
      </c>
      <c r="L223" s="3">
        <v>0.15</v>
      </c>
      <c r="M223" t="s">
        <v>51</v>
      </c>
      <c r="N223" t="s">
        <v>492</v>
      </c>
    </row>
    <row r="224" spans="1:14" x14ac:dyDescent="0.25">
      <c r="A224" t="s">
        <v>493</v>
      </c>
      <c r="B224" s="10">
        <v>46147</v>
      </c>
      <c r="C224" t="str">
        <f t="shared" si="4"/>
        <v>May</v>
      </c>
      <c r="D224" t="s">
        <v>62</v>
      </c>
      <c r="E224" t="s">
        <v>63</v>
      </c>
      <c r="F224" t="s">
        <v>64</v>
      </c>
      <c r="G224" t="s">
        <v>42</v>
      </c>
      <c r="H224" t="s">
        <v>43</v>
      </c>
      <c r="I224" s="2">
        <v>5</v>
      </c>
      <c r="J224" s="2">
        <v>4000000</v>
      </c>
      <c r="K224" s="2">
        <v>20000000</v>
      </c>
      <c r="L224" s="3">
        <v>0.05</v>
      </c>
      <c r="M224" t="s">
        <v>31</v>
      </c>
      <c r="N224" t="s">
        <v>494</v>
      </c>
    </row>
    <row r="225" spans="1:14" x14ac:dyDescent="0.25">
      <c r="A225" t="s">
        <v>495</v>
      </c>
      <c r="B225" s="10">
        <v>46111</v>
      </c>
      <c r="C225" t="str">
        <f t="shared" si="4"/>
        <v>March</v>
      </c>
      <c r="D225" t="s">
        <v>34</v>
      </c>
      <c r="E225" t="s">
        <v>35</v>
      </c>
      <c r="F225" t="s">
        <v>36</v>
      </c>
      <c r="G225" t="s">
        <v>17</v>
      </c>
      <c r="H225" t="s">
        <v>18</v>
      </c>
      <c r="I225" s="2">
        <v>5</v>
      </c>
      <c r="J225" s="2">
        <v>2000000</v>
      </c>
      <c r="K225" s="2">
        <v>10000000</v>
      </c>
      <c r="L225" s="3">
        <v>0.15</v>
      </c>
      <c r="M225" t="s">
        <v>31</v>
      </c>
      <c r="N225" t="s">
        <v>496</v>
      </c>
    </row>
    <row r="226" spans="1:14" x14ac:dyDescent="0.25">
      <c r="A226" t="s">
        <v>497</v>
      </c>
      <c r="B226" s="10">
        <v>46101</v>
      </c>
      <c r="C226" t="str">
        <f t="shared" si="4"/>
        <v>March</v>
      </c>
      <c r="D226" t="s">
        <v>92</v>
      </c>
      <c r="E226" t="s">
        <v>93</v>
      </c>
      <c r="F226" t="s">
        <v>16</v>
      </c>
      <c r="G226" t="s">
        <v>29</v>
      </c>
      <c r="H226" t="s">
        <v>30</v>
      </c>
      <c r="I226" s="2">
        <v>7</v>
      </c>
      <c r="J226" s="2">
        <v>1500000</v>
      </c>
      <c r="K226" s="2">
        <v>10500000</v>
      </c>
      <c r="L226" s="3">
        <v>0</v>
      </c>
      <c r="M226" t="s">
        <v>19</v>
      </c>
      <c r="N226" t="s">
        <v>498</v>
      </c>
    </row>
    <row r="227" spans="1:14" x14ac:dyDescent="0.25">
      <c r="A227" t="s">
        <v>499</v>
      </c>
      <c r="B227" s="10">
        <v>46100</v>
      </c>
      <c r="C227" t="str">
        <f t="shared" si="4"/>
        <v>March</v>
      </c>
      <c r="D227" t="s">
        <v>26</v>
      </c>
      <c r="E227" t="s">
        <v>27</v>
      </c>
      <c r="F227" t="s">
        <v>28</v>
      </c>
      <c r="G227" t="s">
        <v>29</v>
      </c>
      <c r="H227" t="s">
        <v>30</v>
      </c>
      <c r="I227" s="2">
        <v>13</v>
      </c>
      <c r="J227" s="2">
        <v>2500000</v>
      </c>
      <c r="K227" s="2">
        <v>32500000</v>
      </c>
      <c r="L227" s="3">
        <v>0.1</v>
      </c>
      <c r="M227" t="s">
        <v>19</v>
      </c>
      <c r="N227" t="s">
        <v>500</v>
      </c>
    </row>
    <row r="228" spans="1:14" x14ac:dyDescent="0.25">
      <c r="A228" t="s">
        <v>501</v>
      </c>
      <c r="B228" s="10">
        <v>46053</v>
      </c>
      <c r="C228" t="str">
        <f t="shared" si="4"/>
        <v>January</v>
      </c>
      <c r="D228" t="s">
        <v>92</v>
      </c>
      <c r="E228" t="s">
        <v>93</v>
      </c>
      <c r="F228" t="s">
        <v>16</v>
      </c>
      <c r="G228" t="s">
        <v>42</v>
      </c>
      <c r="H228" t="s">
        <v>43</v>
      </c>
      <c r="I228" s="2">
        <v>12</v>
      </c>
      <c r="J228" s="2">
        <v>1500000</v>
      </c>
      <c r="K228" s="2">
        <v>18000000</v>
      </c>
      <c r="L228" s="3">
        <v>0.15</v>
      </c>
      <c r="M228" t="s">
        <v>19</v>
      </c>
      <c r="N228" t="s">
        <v>502</v>
      </c>
    </row>
    <row r="229" spans="1:14" x14ac:dyDescent="0.25">
      <c r="A229" t="s">
        <v>503</v>
      </c>
      <c r="B229" s="10">
        <v>46120</v>
      </c>
      <c r="C229" t="str">
        <f t="shared" si="4"/>
        <v>April</v>
      </c>
      <c r="D229" t="s">
        <v>26</v>
      </c>
      <c r="E229" t="s">
        <v>27</v>
      </c>
      <c r="F229" t="s">
        <v>28</v>
      </c>
      <c r="G229" t="s">
        <v>22</v>
      </c>
      <c r="H229" t="s">
        <v>23</v>
      </c>
      <c r="I229" s="2">
        <v>9</v>
      </c>
      <c r="J229" s="2">
        <v>2500000</v>
      </c>
      <c r="K229" s="2">
        <v>22500000</v>
      </c>
      <c r="L229" s="3">
        <v>0.1</v>
      </c>
      <c r="M229" t="s">
        <v>19</v>
      </c>
      <c r="N229" t="s">
        <v>504</v>
      </c>
    </row>
    <row r="230" spans="1:14" x14ac:dyDescent="0.25">
      <c r="A230" t="s">
        <v>505</v>
      </c>
      <c r="B230" s="10">
        <v>46243</v>
      </c>
      <c r="C230" t="str">
        <f t="shared" si="4"/>
        <v>August</v>
      </c>
      <c r="D230" t="s">
        <v>92</v>
      </c>
      <c r="E230" t="s">
        <v>93</v>
      </c>
      <c r="F230" t="s">
        <v>16</v>
      </c>
      <c r="G230" t="s">
        <v>42</v>
      </c>
      <c r="H230" t="s">
        <v>43</v>
      </c>
      <c r="I230" s="2">
        <v>1</v>
      </c>
      <c r="J230" s="2">
        <v>1500000</v>
      </c>
      <c r="K230" s="2">
        <v>1500000</v>
      </c>
      <c r="L230" s="3">
        <v>0.15</v>
      </c>
      <c r="M230" t="s">
        <v>19</v>
      </c>
      <c r="N230" t="s">
        <v>506</v>
      </c>
    </row>
    <row r="231" spans="1:14" x14ac:dyDescent="0.25">
      <c r="A231" t="s">
        <v>507</v>
      </c>
      <c r="B231" s="10">
        <v>46103</v>
      </c>
      <c r="C231" t="str">
        <f t="shared" si="4"/>
        <v>March</v>
      </c>
      <c r="D231" t="s">
        <v>34</v>
      </c>
      <c r="E231" t="s">
        <v>35</v>
      </c>
      <c r="F231" t="s">
        <v>36</v>
      </c>
      <c r="G231" t="s">
        <v>22</v>
      </c>
      <c r="H231" t="s">
        <v>23</v>
      </c>
      <c r="I231" s="2">
        <v>7</v>
      </c>
      <c r="J231" s="2">
        <v>2000000</v>
      </c>
      <c r="K231" s="2">
        <v>14000000</v>
      </c>
      <c r="L231" s="3">
        <v>0.15</v>
      </c>
      <c r="M231" t="s">
        <v>19</v>
      </c>
      <c r="N231" t="s">
        <v>508</v>
      </c>
    </row>
    <row r="232" spans="1:14" x14ac:dyDescent="0.25">
      <c r="A232" t="s">
        <v>509</v>
      </c>
      <c r="B232" s="10">
        <v>46126</v>
      </c>
      <c r="C232" t="str">
        <f t="shared" si="4"/>
        <v>April</v>
      </c>
      <c r="D232" t="s">
        <v>92</v>
      </c>
      <c r="E232" t="s">
        <v>93</v>
      </c>
      <c r="F232" t="s">
        <v>16</v>
      </c>
      <c r="G232" t="s">
        <v>65</v>
      </c>
      <c r="H232" t="s">
        <v>66</v>
      </c>
      <c r="I232" s="2">
        <v>3</v>
      </c>
      <c r="J232" s="2">
        <v>1500000</v>
      </c>
      <c r="K232" s="2">
        <v>4500000</v>
      </c>
      <c r="L232" s="3">
        <v>0.15</v>
      </c>
      <c r="M232" t="s">
        <v>51</v>
      </c>
      <c r="N232" t="s">
        <v>510</v>
      </c>
    </row>
    <row r="233" spans="1:14" x14ac:dyDescent="0.25">
      <c r="A233" t="s">
        <v>511</v>
      </c>
      <c r="B233" s="10">
        <v>46045</v>
      </c>
      <c r="C233" t="str">
        <f t="shared" si="4"/>
        <v>January</v>
      </c>
      <c r="D233" t="s">
        <v>34</v>
      </c>
      <c r="E233" t="s">
        <v>35</v>
      </c>
      <c r="F233" t="s">
        <v>36</v>
      </c>
      <c r="G233" t="s">
        <v>17</v>
      </c>
      <c r="H233" t="s">
        <v>18</v>
      </c>
      <c r="I233" s="2">
        <v>4</v>
      </c>
      <c r="J233" s="2">
        <v>2000000</v>
      </c>
      <c r="K233" s="2">
        <v>8000000</v>
      </c>
      <c r="L233" s="3">
        <v>0.15</v>
      </c>
      <c r="M233" t="s">
        <v>31</v>
      </c>
      <c r="N233" t="s">
        <v>512</v>
      </c>
    </row>
    <row r="234" spans="1:14" x14ac:dyDescent="0.25">
      <c r="A234" t="s">
        <v>513</v>
      </c>
      <c r="B234" s="10">
        <v>46157</v>
      </c>
      <c r="C234" t="str">
        <f t="shared" si="4"/>
        <v>May</v>
      </c>
      <c r="D234" t="s">
        <v>14</v>
      </c>
      <c r="E234" t="s">
        <v>15</v>
      </c>
      <c r="F234" t="s">
        <v>16</v>
      </c>
      <c r="G234" t="s">
        <v>42</v>
      </c>
      <c r="H234" t="s">
        <v>43</v>
      </c>
      <c r="I234" s="2">
        <v>14</v>
      </c>
      <c r="J234" s="2">
        <v>3500000</v>
      </c>
      <c r="K234" s="2">
        <v>49000000</v>
      </c>
      <c r="L234" s="3">
        <v>0.1</v>
      </c>
      <c r="M234" t="s">
        <v>51</v>
      </c>
      <c r="N234" t="s">
        <v>514</v>
      </c>
    </row>
    <row r="235" spans="1:14" x14ac:dyDescent="0.25">
      <c r="A235" t="s">
        <v>515</v>
      </c>
      <c r="B235" s="10">
        <v>46079</v>
      </c>
      <c r="C235" t="str">
        <f t="shared" si="4"/>
        <v>February</v>
      </c>
      <c r="D235" t="s">
        <v>46</v>
      </c>
      <c r="E235" t="s">
        <v>47</v>
      </c>
      <c r="F235" t="s">
        <v>48</v>
      </c>
      <c r="G235" t="s">
        <v>29</v>
      </c>
      <c r="H235" t="s">
        <v>30</v>
      </c>
      <c r="I235" s="2">
        <v>2</v>
      </c>
      <c r="J235" s="2">
        <v>750000</v>
      </c>
      <c r="K235" s="2">
        <v>1500000</v>
      </c>
      <c r="L235" s="3">
        <v>0</v>
      </c>
      <c r="M235" t="s">
        <v>31</v>
      </c>
      <c r="N235" t="s">
        <v>516</v>
      </c>
    </row>
    <row r="236" spans="1:14" x14ac:dyDescent="0.25">
      <c r="A236" t="s">
        <v>517</v>
      </c>
      <c r="B236" s="10">
        <v>46072</v>
      </c>
      <c r="C236" t="str">
        <f t="shared" si="4"/>
        <v>February</v>
      </c>
      <c r="D236" t="s">
        <v>46</v>
      </c>
      <c r="E236" t="s">
        <v>47</v>
      </c>
      <c r="F236" t="s">
        <v>48</v>
      </c>
      <c r="G236" t="s">
        <v>65</v>
      </c>
      <c r="H236" t="s">
        <v>66</v>
      </c>
      <c r="I236" s="2">
        <v>12</v>
      </c>
      <c r="J236" s="2">
        <v>750000</v>
      </c>
      <c r="K236" s="2">
        <v>9000000</v>
      </c>
      <c r="L236" s="3">
        <v>0.05</v>
      </c>
      <c r="M236" t="s">
        <v>19</v>
      </c>
      <c r="N236" t="s">
        <v>518</v>
      </c>
    </row>
    <row r="237" spans="1:14" x14ac:dyDescent="0.25">
      <c r="A237" t="s">
        <v>519</v>
      </c>
      <c r="B237" s="10">
        <v>46060</v>
      </c>
      <c r="C237" t="str">
        <f t="shared" si="4"/>
        <v>February</v>
      </c>
      <c r="D237" t="s">
        <v>58</v>
      </c>
      <c r="E237" t="s">
        <v>59</v>
      </c>
      <c r="F237" t="s">
        <v>28</v>
      </c>
      <c r="G237" t="s">
        <v>29</v>
      </c>
      <c r="H237" t="s">
        <v>30</v>
      </c>
      <c r="I237" s="2">
        <v>3</v>
      </c>
      <c r="J237" s="2">
        <v>5500000</v>
      </c>
      <c r="K237" s="2">
        <v>16500000</v>
      </c>
      <c r="L237" s="3">
        <v>0.05</v>
      </c>
      <c r="M237" t="s">
        <v>51</v>
      </c>
      <c r="N237" t="s">
        <v>520</v>
      </c>
    </row>
    <row r="238" spans="1:14" x14ac:dyDescent="0.25">
      <c r="A238" t="s">
        <v>521</v>
      </c>
      <c r="B238" s="10">
        <v>46068</v>
      </c>
      <c r="C238" t="str">
        <f t="shared" si="4"/>
        <v>February</v>
      </c>
      <c r="D238" t="s">
        <v>62</v>
      </c>
      <c r="E238" t="s">
        <v>63</v>
      </c>
      <c r="F238" t="s">
        <v>64</v>
      </c>
      <c r="G238" t="s">
        <v>42</v>
      </c>
      <c r="H238" t="s">
        <v>43</v>
      </c>
      <c r="I238" s="2">
        <v>13</v>
      </c>
      <c r="J238" s="2">
        <v>4000000</v>
      </c>
      <c r="K238" s="2">
        <v>52000000</v>
      </c>
      <c r="L238" s="3">
        <v>0.15</v>
      </c>
      <c r="M238" t="s">
        <v>51</v>
      </c>
      <c r="N238" t="s">
        <v>522</v>
      </c>
    </row>
    <row r="239" spans="1:14" x14ac:dyDescent="0.25">
      <c r="A239" t="s">
        <v>523</v>
      </c>
      <c r="B239" s="10">
        <v>46187</v>
      </c>
      <c r="C239" t="str">
        <f t="shared" si="4"/>
        <v>June</v>
      </c>
      <c r="D239" t="s">
        <v>46</v>
      </c>
      <c r="E239" t="s">
        <v>47</v>
      </c>
      <c r="F239" t="s">
        <v>48</v>
      </c>
      <c r="G239" t="s">
        <v>65</v>
      </c>
      <c r="H239" t="s">
        <v>66</v>
      </c>
      <c r="I239" s="2">
        <v>3</v>
      </c>
      <c r="J239" s="2">
        <v>750000</v>
      </c>
      <c r="K239" s="2">
        <v>2250000</v>
      </c>
      <c r="L239" s="3">
        <v>0.15</v>
      </c>
      <c r="M239" t="s">
        <v>19</v>
      </c>
      <c r="N239" t="s">
        <v>524</v>
      </c>
    </row>
    <row r="240" spans="1:14" x14ac:dyDescent="0.25">
      <c r="A240" t="s">
        <v>525</v>
      </c>
      <c r="B240" s="10">
        <v>46136</v>
      </c>
      <c r="C240" t="str">
        <f t="shared" si="4"/>
        <v>April</v>
      </c>
      <c r="D240" t="s">
        <v>58</v>
      </c>
      <c r="E240" t="s">
        <v>59</v>
      </c>
      <c r="F240" t="s">
        <v>28</v>
      </c>
      <c r="G240" t="s">
        <v>65</v>
      </c>
      <c r="H240" t="s">
        <v>66</v>
      </c>
      <c r="I240" s="2">
        <v>10</v>
      </c>
      <c r="J240" s="2">
        <v>5500000</v>
      </c>
      <c r="K240" s="2">
        <v>55000000</v>
      </c>
      <c r="L240" s="3">
        <v>0</v>
      </c>
      <c r="M240" t="s">
        <v>19</v>
      </c>
      <c r="N240" t="s">
        <v>526</v>
      </c>
    </row>
    <row r="241" spans="1:14" x14ac:dyDescent="0.25">
      <c r="A241" t="s">
        <v>527</v>
      </c>
      <c r="B241" s="10">
        <v>46041</v>
      </c>
      <c r="C241" t="str">
        <f t="shared" si="4"/>
        <v>January</v>
      </c>
      <c r="D241" t="s">
        <v>58</v>
      </c>
      <c r="E241" t="s">
        <v>59</v>
      </c>
      <c r="F241" t="s">
        <v>28</v>
      </c>
      <c r="G241" t="s">
        <v>42</v>
      </c>
      <c r="H241" t="s">
        <v>43</v>
      </c>
      <c r="I241" s="2">
        <v>8</v>
      </c>
      <c r="J241" s="2">
        <v>5500000</v>
      </c>
      <c r="K241" s="2">
        <v>44000000</v>
      </c>
      <c r="L241" s="3">
        <v>0</v>
      </c>
      <c r="M241" t="s">
        <v>19</v>
      </c>
      <c r="N241" t="s">
        <v>528</v>
      </c>
    </row>
    <row r="242" spans="1:14" x14ac:dyDescent="0.25">
      <c r="A242" t="s">
        <v>529</v>
      </c>
      <c r="B242" s="10">
        <v>46235</v>
      </c>
      <c r="C242" t="str">
        <f t="shared" si="4"/>
        <v>August</v>
      </c>
      <c r="D242" t="s">
        <v>58</v>
      </c>
      <c r="E242" t="s">
        <v>59</v>
      </c>
      <c r="F242" t="s">
        <v>28</v>
      </c>
      <c r="G242" t="s">
        <v>17</v>
      </c>
      <c r="H242" t="s">
        <v>18</v>
      </c>
      <c r="I242" s="2">
        <v>11</v>
      </c>
      <c r="J242" s="2">
        <v>5500000</v>
      </c>
      <c r="K242" s="2">
        <v>60500000</v>
      </c>
      <c r="L242" s="3">
        <v>0</v>
      </c>
      <c r="M242" t="s">
        <v>31</v>
      </c>
      <c r="N242" t="s">
        <v>530</v>
      </c>
    </row>
    <row r="243" spans="1:14" x14ac:dyDescent="0.25">
      <c r="A243" t="s">
        <v>531</v>
      </c>
      <c r="B243" s="10">
        <v>46152</v>
      </c>
      <c r="C243" t="str">
        <f t="shared" si="4"/>
        <v>May</v>
      </c>
      <c r="D243" t="s">
        <v>34</v>
      </c>
      <c r="E243" t="s">
        <v>35</v>
      </c>
      <c r="F243" t="s">
        <v>36</v>
      </c>
      <c r="G243" t="s">
        <v>42</v>
      </c>
      <c r="H243" t="s">
        <v>43</v>
      </c>
      <c r="I243" s="2">
        <v>10</v>
      </c>
      <c r="J243" s="2">
        <v>2000000</v>
      </c>
      <c r="K243" s="2">
        <v>20000000</v>
      </c>
      <c r="L243" s="3">
        <v>0</v>
      </c>
      <c r="M243" t="s">
        <v>77</v>
      </c>
      <c r="N243" t="s">
        <v>532</v>
      </c>
    </row>
    <row r="244" spans="1:14" x14ac:dyDescent="0.25">
      <c r="A244" t="s">
        <v>533</v>
      </c>
      <c r="B244" s="10">
        <v>46169</v>
      </c>
      <c r="C244" t="str">
        <f t="shared" si="4"/>
        <v>May</v>
      </c>
      <c r="D244" t="s">
        <v>26</v>
      </c>
      <c r="E244" t="s">
        <v>27</v>
      </c>
      <c r="F244" t="s">
        <v>28</v>
      </c>
      <c r="G244" t="s">
        <v>65</v>
      </c>
      <c r="H244" t="s">
        <v>66</v>
      </c>
      <c r="I244" s="2">
        <v>10</v>
      </c>
      <c r="J244" s="2">
        <v>2500000</v>
      </c>
      <c r="K244" s="2">
        <v>25000000</v>
      </c>
      <c r="L244" s="3">
        <v>0.15</v>
      </c>
      <c r="M244" t="s">
        <v>31</v>
      </c>
      <c r="N244" t="s">
        <v>534</v>
      </c>
    </row>
    <row r="245" spans="1:14" x14ac:dyDescent="0.25">
      <c r="A245" t="s">
        <v>535</v>
      </c>
      <c r="B245" s="10">
        <v>46038</v>
      </c>
      <c r="C245" t="str">
        <f t="shared" si="4"/>
        <v>January</v>
      </c>
      <c r="D245" t="s">
        <v>62</v>
      </c>
      <c r="E245" t="s">
        <v>63</v>
      </c>
      <c r="F245" t="s">
        <v>64</v>
      </c>
      <c r="G245" t="s">
        <v>17</v>
      </c>
      <c r="H245" t="s">
        <v>18</v>
      </c>
      <c r="I245" s="2">
        <v>13</v>
      </c>
      <c r="J245" s="2">
        <v>4000000</v>
      </c>
      <c r="K245" s="2">
        <v>52000000</v>
      </c>
      <c r="L245" s="3">
        <v>0.1</v>
      </c>
      <c r="M245" t="s">
        <v>51</v>
      </c>
      <c r="N245" t="s">
        <v>536</v>
      </c>
    </row>
    <row r="246" spans="1:14" x14ac:dyDescent="0.25">
      <c r="A246" t="s">
        <v>537</v>
      </c>
      <c r="B246" s="10">
        <v>46152</v>
      </c>
      <c r="C246" t="str">
        <f t="shared" si="4"/>
        <v>May</v>
      </c>
      <c r="D246" t="s">
        <v>39</v>
      </c>
      <c r="E246" t="s">
        <v>40</v>
      </c>
      <c r="F246" t="s">
        <v>41</v>
      </c>
      <c r="G246" t="s">
        <v>17</v>
      </c>
      <c r="H246" t="s">
        <v>18</v>
      </c>
      <c r="I246" s="2">
        <v>4</v>
      </c>
      <c r="J246" s="2">
        <v>12000000</v>
      </c>
      <c r="K246" s="2">
        <v>48000000</v>
      </c>
      <c r="L246" s="3">
        <v>0.15</v>
      </c>
      <c r="M246" t="s">
        <v>77</v>
      </c>
      <c r="N246" t="s">
        <v>538</v>
      </c>
    </row>
    <row r="247" spans="1:14" x14ac:dyDescent="0.25">
      <c r="A247" t="s">
        <v>539</v>
      </c>
      <c r="B247" s="10">
        <v>46156</v>
      </c>
      <c r="C247" t="str">
        <f t="shared" si="4"/>
        <v>May</v>
      </c>
      <c r="D247" t="s">
        <v>39</v>
      </c>
      <c r="E247" t="s">
        <v>40</v>
      </c>
      <c r="F247" t="s">
        <v>41</v>
      </c>
      <c r="G247" t="s">
        <v>65</v>
      </c>
      <c r="H247" t="s">
        <v>66</v>
      </c>
      <c r="I247" s="2">
        <v>6</v>
      </c>
      <c r="J247" s="2">
        <v>12000000</v>
      </c>
      <c r="K247" s="2">
        <v>72000000</v>
      </c>
      <c r="L247" s="3">
        <v>0.1</v>
      </c>
      <c r="M247" t="s">
        <v>77</v>
      </c>
      <c r="N247" t="s">
        <v>540</v>
      </c>
    </row>
    <row r="248" spans="1:14" x14ac:dyDescent="0.25">
      <c r="A248" t="s">
        <v>541</v>
      </c>
      <c r="B248" s="10">
        <v>46221</v>
      </c>
      <c r="C248" t="str">
        <f t="shared" si="4"/>
        <v>July</v>
      </c>
      <c r="D248" t="s">
        <v>46</v>
      </c>
      <c r="E248" t="s">
        <v>47</v>
      </c>
      <c r="F248" t="s">
        <v>48</v>
      </c>
      <c r="G248" t="s">
        <v>22</v>
      </c>
      <c r="H248" t="s">
        <v>23</v>
      </c>
      <c r="I248" s="2">
        <v>1</v>
      </c>
      <c r="J248" s="2">
        <v>750000</v>
      </c>
      <c r="K248" s="2">
        <v>750000</v>
      </c>
      <c r="L248" s="3">
        <v>0.1</v>
      </c>
      <c r="M248" t="s">
        <v>19</v>
      </c>
      <c r="N248" t="s">
        <v>542</v>
      </c>
    </row>
    <row r="249" spans="1:14" x14ac:dyDescent="0.25">
      <c r="A249" t="s">
        <v>543</v>
      </c>
      <c r="B249" s="10">
        <v>46047</v>
      </c>
      <c r="C249" t="str">
        <f t="shared" si="4"/>
        <v>January</v>
      </c>
      <c r="D249" t="s">
        <v>34</v>
      </c>
      <c r="E249" t="s">
        <v>35</v>
      </c>
      <c r="F249" t="s">
        <v>36</v>
      </c>
      <c r="G249" t="s">
        <v>65</v>
      </c>
      <c r="H249" t="s">
        <v>66</v>
      </c>
      <c r="I249" s="2">
        <v>5</v>
      </c>
      <c r="J249" s="2">
        <v>2000000</v>
      </c>
      <c r="K249" s="2">
        <v>10000000</v>
      </c>
      <c r="L249" s="3">
        <v>0.05</v>
      </c>
      <c r="M249" t="s">
        <v>19</v>
      </c>
      <c r="N249" t="s">
        <v>544</v>
      </c>
    </row>
    <row r="250" spans="1:14" x14ac:dyDescent="0.25">
      <c r="A250" t="s">
        <v>545</v>
      </c>
      <c r="B250" s="10">
        <v>46172</v>
      </c>
      <c r="C250" t="str">
        <f t="shared" si="4"/>
        <v>May</v>
      </c>
      <c r="D250" t="s">
        <v>39</v>
      </c>
      <c r="E250" t="s">
        <v>40</v>
      </c>
      <c r="F250" t="s">
        <v>41</v>
      </c>
      <c r="G250" t="s">
        <v>65</v>
      </c>
      <c r="H250" t="s">
        <v>66</v>
      </c>
      <c r="I250" s="2">
        <v>5</v>
      </c>
      <c r="J250" s="2">
        <v>12000000</v>
      </c>
      <c r="K250" s="2">
        <v>60000000</v>
      </c>
      <c r="L250" s="3">
        <v>0.15</v>
      </c>
      <c r="M250" t="s">
        <v>19</v>
      </c>
      <c r="N250" t="s">
        <v>546</v>
      </c>
    </row>
    <row r="251" spans="1:14" x14ac:dyDescent="0.25">
      <c r="A251" t="s">
        <v>547</v>
      </c>
      <c r="B251" s="10">
        <v>46204</v>
      </c>
      <c r="C251" t="str">
        <f t="shared" si="4"/>
        <v>July</v>
      </c>
      <c r="D251" t="s">
        <v>14</v>
      </c>
      <c r="E251" t="s">
        <v>15</v>
      </c>
      <c r="F251" t="s">
        <v>16</v>
      </c>
      <c r="G251" t="s">
        <v>65</v>
      </c>
      <c r="H251" t="s">
        <v>66</v>
      </c>
      <c r="I251" s="2">
        <v>9</v>
      </c>
      <c r="J251" s="2">
        <v>3500000</v>
      </c>
      <c r="K251" s="2">
        <v>31500000</v>
      </c>
      <c r="L251" s="3">
        <v>0.15</v>
      </c>
      <c r="M251" t="s">
        <v>51</v>
      </c>
      <c r="N251" t="s">
        <v>548</v>
      </c>
    </row>
    <row r="252" spans="1:14" x14ac:dyDescent="0.25">
      <c r="A252" t="s">
        <v>549</v>
      </c>
      <c r="B252" s="10">
        <v>46107</v>
      </c>
      <c r="C252" t="str">
        <f t="shared" si="4"/>
        <v>March</v>
      </c>
      <c r="D252" t="s">
        <v>39</v>
      </c>
      <c r="E252" t="s">
        <v>40</v>
      </c>
      <c r="F252" t="s">
        <v>41</v>
      </c>
      <c r="G252" t="s">
        <v>22</v>
      </c>
      <c r="H252" t="s">
        <v>23</v>
      </c>
      <c r="I252" s="2">
        <v>2</v>
      </c>
      <c r="J252" s="2">
        <v>12000000</v>
      </c>
      <c r="K252" s="2">
        <v>24000000</v>
      </c>
      <c r="L252" s="3">
        <v>0.15</v>
      </c>
      <c r="M252" t="s">
        <v>31</v>
      </c>
      <c r="N252" t="s">
        <v>550</v>
      </c>
    </row>
    <row r="253" spans="1:14" x14ac:dyDescent="0.25">
      <c r="A253" t="s">
        <v>551</v>
      </c>
      <c r="B253" s="10">
        <v>46027</v>
      </c>
      <c r="C253" t="str">
        <f t="shared" si="4"/>
        <v>January</v>
      </c>
      <c r="D253" t="s">
        <v>46</v>
      </c>
      <c r="E253" t="s">
        <v>47</v>
      </c>
      <c r="F253" t="s">
        <v>48</v>
      </c>
      <c r="G253" t="s">
        <v>65</v>
      </c>
      <c r="H253" t="s">
        <v>66</v>
      </c>
      <c r="I253" s="2">
        <v>3</v>
      </c>
      <c r="J253" s="2">
        <v>750000</v>
      </c>
      <c r="K253" s="2">
        <v>2250000</v>
      </c>
      <c r="L253" s="3">
        <v>0.05</v>
      </c>
      <c r="M253" t="s">
        <v>19</v>
      </c>
      <c r="N253" t="s">
        <v>552</v>
      </c>
    </row>
    <row r="254" spans="1:14" x14ac:dyDescent="0.25">
      <c r="A254" t="s">
        <v>553</v>
      </c>
      <c r="B254" s="10">
        <v>46147</v>
      </c>
      <c r="C254" t="str">
        <f t="shared" si="4"/>
        <v>May</v>
      </c>
      <c r="D254" t="s">
        <v>26</v>
      </c>
      <c r="E254" t="s">
        <v>27</v>
      </c>
      <c r="F254" t="s">
        <v>28</v>
      </c>
      <c r="G254" t="s">
        <v>29</v>
      </c>
      <c r="H254" t="s">
        <v>30</v>
      </c>
      <c r="I254" s="2">
        <v>3</v>
      </c>
      <c r="J254" s="2">
        <v>2500000</v>
      </c>
      <c r="K254" s="2">
        <v>7500000</v>
      </c>
      <c r="L254" s="3">
        <v>0.05</v>
      </c>
      <c r="M254" t="s">
        <v>19</v>
      </c>
      <c r="N254" t="s">
        <v>554</v>
      </c>
    </row>
    <row r="255" spans="1:14" x14ac:dyDescent="0.25">
      <c r="A255" t="s">
        <v>555</v>
      </c>
      <c r="B255" s="10">
        <v>46239</v>
      </c>
      <c r="C255" t="str">
        <f t="shared" si="4"/>
        <v>August</v>
      </c>
      <c r="D255" t="s">
        <v>14</v>
      </c>
      <c r="E255" t="s">
        <v>15</v>
      </c>
      <c r="F255" t="s">
        <v>16</v>
      </c>
      <c r="G255" t="s">
        <v>22</v>
      </c>
      <c r="H255" t="s">
        <v>23</v>
      </c>
      <c r="I255" s="2">
        <v>13</v>
      </c>
      <c r="J255" s="2">
        <v>3500000</v>
      </c>
      <c r="K255" s="2">
        <v>45500000</v>
      </c>
      <c r="L255" s="3">
        <v>0</v>
      </c>
      <c r="M255" t="s">
        <v>51</v>
      </c>
      <c r="N255" t="s">
        <v>556</v>
      </c>
    </row>
    <row r="256" spans="1:14" x14ac:dyDescent="0.25">
      <c r="A256" t="s">
        <v>557</v>
      </c>
      <c r="B256" s="10">
        <v>46219</v>
      </c>
      <c r="C256" t="str">
        <f t="shared" si="4"/>
        <v>July</v>
      </c>
      <c r="D256" t="s">
        <v>39</v>
      </c>
      <c r="E256" t="s">
        <v>40</v>
      </c>
      <c r="F256" t="s">
        <v>41</v>
      </c>
      <c r="G256" t="s">
        <v>22</v>
      </c>
      <c r="H256" t="s">
        <v>23</v>
      </c>
      <c r="I256" s="2">
        <v>7</v>
      </c>
      <c r="J256" s="2">
        <v>12000000</v>
      </c>
      <c r="K256" s="2">
        <v>84000000</v>
      </c>
      <c r="L256" s="3">
        <v>0.05</v>
      </c>
      <c r="M256" t="s">
        <v>19</v>
      </c>
      <c r="N256" t="s">
        <v>558</v>
      </c>
    </row>
    <row r="257" spans="1:14" x14ac:dyDescent="0.25">
      <c r="A257" t="s">
        <v>559</v>
      </c>
      <c r="B257" s="10">
        <v>46235</v>
      </c>
      <c r="C257" t="str">
        <f t="shared" si="4"/>
        <v>August</v>
      </c>
      <c r="D257" t="s">
        <v>39</v>
      </c>
      <c r="E257" t="s">
        <v>40</v>
      </c>
      <c r="F257" t="s">
        <v>41</v>
      </c>
      <c r="G257" t="s">
        <v>42</v>
      </c>
      <c r="H257" t="s">
        <v>43</v>
      </c>
      <c r="I257" s="2">
        <v>1</v>
      </c>
      <c r="J257" s="2">
        <v>12000000</v>
      </c>
      <c r="K257" s="2">
        <v>12000000</v>
      </c>
      <c r="L257" s="3">
        <v>0.15</v>
      </c>
      <c r="M257" t="s">
        <v>19</v>
      </c>
      <c r="N257" t="s">
        <v>560</v>
      </c>
    </row>
    <row r="258" spans="1:14" x14ac:dyDescent="0.25">
      <c r="A258" t="s">
        <v>561</v>
      </c>
      <c r="B258" s="10">
        <v>46207</v>
      </c>
      <c r="C258" t="str">
        <f t="shared" si="4"/>
        <v>July</v>
      </c>
      <c r="D258" t="s">
        <v>26</v>
      </c>
      <c r="E258" t="s">
        <v>27</v>
      </c>
      <c r="F258" t="s">
        <v>28</v>
      </c>
      <c r="G258" t="s">
        <v>42</v>
      </c>
      <c r="H258" t="s">
        <v>43</v>
      </c>
      <c r="I258" s="2">
        <v>10</v>
      </c>
      <c r="J258" s="2">
        <v>2500000</v>
      </c>
      <c r="K258" s="2">
        <v>25000000</v>
      </c>
      <c r="L258" s="3">
        <v>0.1</v>
      </c>
      <c r="M258" t="s">
        <v>51</v>
      </c>
      <c r="N258" t="s">
        <v>562</v>
      </c>
    </row>
    <row r="259" spans="1:14" x14ac:dyDescent="0.25">
      <c r="A259" t="s">
        <v>563</v>
      </c>
      <c r="B259" s="10">
        <v>46137</v>
      </c>
      <c r="C259" t="str">
        <f t="shared" ref="C259:C322" si="5">TEXT(B259, "MMMM")</f>
        <v>April</v>
      </c>
      <c r="D259" t="s">
        <v>26</v>
      </c>
      <c r="E259" t="s">
        <v>27</v>
      </c>
      <c r="F259" t="s">
        <v>28</v>
      </c>
      <c r="G259" t="s">
        <v>22</v>
      </c>
      <c r="H259" t="s">
        <v>23</v>
      </c>
      <c r="I259" s="2">
        <v>4</v>
      </c>
      <c r="J259" s="2">
        <v>2500000</v>
      </c>
      <c r="K259" s="2">
        <v>10000000</v>
      </c>
      <c r="L259" s="3">
        <v>0.1</v>
      </c>
      <c r="M259" t="s">
        <v>77</v>
      </c>
      <c r="N259" t="s">
        <v>564</v>
      </c>
    </row>
    <row r="260" spans="1:14" x14ac:dyDescent="0.25">
      <c r="A260" t="s">
        <v>565</v>
      </c>
      <c r="B260" s="10">
        <v>46072</v>
      </c>
      <c r="C260" t="str">
        <f t="shared" si="5"/>
        <v>February</v>
      </c>
      <c r="D260" t="s">
        <v>46</v>
      </c>
      <c r="E260" t="s">
        <v>47</v>
      </c>
      <c r="F260" t="s">
        <v>48</v>
      </c>
      <c r="G260" t="s">
        <v>22</v>
      </c>
      <c r="H260" t="s">
        <v>23</v>
      </c>
      <c r="I260" s="2">
        <v>8</v>
      </c>
      <c r="J260" s="2">
        <v>750000</v>
      </c>
      <c r="K260" s="2">
        <v>6000000</v>
      </c>
      <c r="L260" s="3">
        <v>0.15</v>
      </c>
      <c r="M260" t="s">
        <v>19</v>
      </c>
      <c r="N260" t="s">
        <v>566</v>
      </c>
    </row>
    <row r="261" spans="1:14" x14ac:dyDescent="0.25">
      <c r="A261" t="s">
        <v>567</v>
      </c>
      <c r="B261" s="10">
        <v>46120</v>
      </c>
      <c r="C261" t="str">
        <f t="shared" si="5"/>
        <v>April</v>
      </c>
      <c r="D261" t="s">
        <v>34</v>
      </c>
      <c r="E261" t="s">
        <v>35</v>
      </c>
      <c r="F261" t="s">
        <v>36</v>
      </c>
      <c r="G261" t="s">
        <v>29</v>
      </c>
      <c r="H261" t="s">
        <v>30</v>
      </c>
      <c r="I261" s="2">
        <v>14</v>
      </c>
      <c r="J261" s="2">
        <v>2000000</v>
      </c>
      <c r="K261" s="2">
        <v>28000000</v>
      </c>
      <c r="L261" s="3">
        <v>0.05</v>
      </c>
      <c r="M261" t="s">
        <v>31</v>
      </c>
      <c r="N261" t="s">
        <v>568</v>
      </c>
    </row>
    <row r="262" spans="1:14" x14ac:dyDescent="0.25">
      <c r="A262" t="s">
        <v>569</v>
      </c>
      <c r="B262" s="10">
        <v>46087</v>
      </c>
      <c r="C262" t="str">
        <f t="shared" si="5"/>
        <v>March</v>
      </c>
      <c r="D262" t="s">
        <v>92</v>
      </c>
      <c r="E262" t="s">
        <v>93</v>
      </c>
      <c r="F262" t="s">
        <v>16</v>
      </c>
      <c r="G262" t="s">
        <v>42</v>
      </c>
      <c r="H262" t="s">
        <v>43</v>
      </c>
      <c r="I262" s="2">
        <v>14</v>
      </c>
      <c r="J262" s="2">
        <v>1500000</v>
      </c>
      <c r="K262" s="2">
        <v>21000000</v>
      </c>
      <c r="L262" s="3">
        <v>0.1</v>
      </c>
      <c r="M262" t="s">
        <v>31</v>
      </c>
      <c r="N262" t="s">
        <v>570</v>
      </c>
    </row>
    <row r="263" spans="1:14" x14ac:dyDescent="0.25">
      <c r="A263" t="s">
        <v>571</v>
      </c>
      <c r="B263" s="10">
        <v>46205</v>
      </c>
      <c r="C263" t="str">
        <f t="shared" si="5"/>
        <v>July</v>
      </c>
      <c r="D263" t="s">
        <v>14</v>
      </c>
      <c r="E263" t="s">
        <v>15</v>
      </c>
      <c r="F263" t="s">
        <v>16</v>
      </c>
      <c r="G263" t="s">
        <v>65</v>
      </c>
      <c r="H263" t="s">
        <v>66</v>
      </c>
      <c r="I263" s="2">
        <v>2</v>
      </c>
      <c r="J263" s="2">
        <v>3500000</v>
      </c>
      <c r="K263" s="2">
        <v>7000000</v>
      </c>
      <c r="L263" s="3">
        <v>0.05</v>
      </c>
      <c r="M263" t="s">
        <v>19</v>
      </c>
      <c r="N263" t="s">
        <v>572</v>
      </c>
    </row>
    <row r="264" spans="1:14" x14ac:dyDescent="0.25">
      <c r="A264" t="s">
        <v>573</v>
      </c>
      <c r="B264" s="10">
        <v>46154</v>
      </c>
      <c r="C264" t="str">
        <f t="shared" si="5"/>
        <v>May</v>
      </c>
      <c r="D264" t="s">
        <v>39</v>
      </c>
      <c r="E264" t="s">
        <v>40</v>
      </c>
      <c r="F264" t="s">
        <v>41</v>
      </c>
      <c r="G264" t="s">
        <v>42</v>
      </c>
      <c r="H264" t="s">
        <v>43</v>
      </c>
      <c r="I264" s="2">
        <v>2</v>
      </c>
      <c r="J264" s="2">
        <v>12000000</v>
      </c>
      <c r="K264" s="2">
        <v>24000000</v>
      </c>
      <c r="L264" s="3">
        <v>0.05</v>
      </c>
      <c r="M264" t="s">
        <v>77</v>
      </c>
      <c r="N264" t="s">
        <v>574</v>
      </c>
    </row>
    <row r="265" spans="1:14" x14ac:dyDescent="0.25">
      <c r="A265" t="s">
        <v>575</v>
      </c>
      <c r="B265" s="10">
        <v>46029</v>
      </c>
      <c r="C265" t="str">
        <f t="shared" si="5"/>
        <v>January</v>
      </c>
      <c r="D265" t="s">
        <v>34</v>
      </c>
      <c r="E265" t="s">
        <v>35</v>
      </c>
      <c r="F265" t="s">
        <v>36</v>
      </c>
      <c r="G265" t="s">
        <v>17</v>
      </c>
      <c r="H265" t="s">
        <v>18</v>
      </c>
      <c r="I265" s="2">
        <v>7</v>
      </c>
      <c r="J265" s="2">
        <v>2000000</v>
      </c>
      <c r="K265" s="2">
        <v>14000000</v>
      </c>
      <c r="L265" s="3">
        <v>0.1</v>
      </c>
      <c r="M265" t="s">
        <v>19</v>
      </c>
      <c r="N265" t="s">
        <v>576</v>
      </c>
    </row>
    <row r="266" spans="1:14" x14ac:dyDescent="0.25">
      <c r="A266" t="s">
        <v>577</v>
      </c>
      <c r="B266" s="10">
        <v>46043</v>
      </c>
      <c r="C266" t="str">
        <f t="shared" si="5"/>
        <v>January</v>
      </c>
      <c r="D266" t="s">
        <v>46</v>
      </c>
      <c r="E266" t="s">
        <v>47</v>
      </c>
      <c r="F266" t="s">
        <v>48</v>
      </c>
      <c r="G266" t="s">
        <v>29</v>
      </c>
      <c r="H266" t="s">
        <v>30</v>
      </c>
      <c r="I266" s="2">
        <v>1</v>
      </c>
      <c r="J266" s="2">
        <v>750000</v>
      </c>
      <c r="K266" s="2">
        <v>750000</v>
      </c>
      <c r="L266" s="3">
        <v>0.1</v>
      </c>
      <c r="M266" t="s">
        <v>19</v>
      </c>
      <c r="N266" t="s">
        <v>578</v>
      </c>
    </row>
    <row r="267" spans="1:14" x14ac:dyDescent="0.25">
      <c r="A267" t="s">
        <v>579</v>
      </c>
      <c r="B267" s="10">
        <v>46205</v>
      </c>
      <c r="C267" t="str">
        <f t="shared" si="5"/>
        <v>July</v>
      </c>
      <c r="D267" t="s">
        <v>46</v>
      </c>
      <c r="E267" t="s">
        <v>47</v>
      </c>
      <c r="F267" t="s">
        <v>48</v>
      </c>
      <c r="G267" t="s">
        <v>29</v>
      </c>
      <c r="H267" t="s">
        <v>30</v>
      </c>
      <c r="I267" s="2">
        <v>3</v>
      </c>
      <c r="J267" s="2">
        <v>750000</v>
      </c>
      <c r="K267" s="2">
        <v>2250000</v>
      </c>
      <c r="L267" s="3">
        <v>0</v>
      </c>
      <c r="M267" t="s">
        <v>19</v>
      </c>
      <c r="N267" t="s">
        <v>580</v>
      </c>
    </row>
    <row r="268" spans="1:14" x14ac:dyDescent="0.25">
      <c r="A268" t="s">
        <v>581</v>
      </c>
      <c r="B268" s="10">
        <v>46143</v>
      </c>
      <c r="C268" t="str">
        <f t="shared" si="5"/>
        <v>May</v>
      </c>
      <c r="D268" t="s">
        <v>39</v>
      </c>
      <c r="E268" t="s">
        <v>40</v>
      </c>
      <c r="F268" t="s">
        <v>41</v>
      </c>
      <c r="G268" t="s">
        <v>42</v>
      </c>
      <c r="H268" t="s">
        <v>43</v>
      </c>
      <c r="I268" s="2">
        <v>8</v>
      </c>
      <c r="J268" s="2">
        <v>12000000</v>
      </c>
      <c r="K268" s="2">
        <v>96000000</v>
      </c>
      <c r="L268" s="3">
        <v>0</v>
      </c>
      <c r="M268" t="s">
        <v>19</v>
      </c>
      <c r="N268" t="s">
        <v>582</v>
      </c>
    </row>
    <row r="269" spans="1:14" x14ac:dyDescent="0.25">
      <c r="A269" t="s">
        <v>583</v>
      </c>
      <c r="B269" s="10">
        <v>46088</v>
      </c>
      <c r="C269" t="str">
        <f t="shared" si="5"/>
        <v>March</v>
      </c>
      <c r="D269" t="s">
        <v>26</v>
      </c>
      <c r="E269" t="s">
        <v>27</v>
      </c>
      <c r="F269" t="s">
        <v>28</v>
      </c>
      <c r="G269" t="s">
        <v>29</v>
      </c>
      <c r="H269" t="s">
        <v>30</v>
      </c>
      <c r="I269" s="2">
        <v>9</v>
      </c>
      <c r="J269" s="2">
        <v>2500000</v>
      </c>
      <c r="K269" s="2">
        <v>22500000</v>
      </c>
      <c r="L269" s="3">
        <v>0.15</v>
      </c>
      <c r="M269" t="s">
        <v>19</v>
      </c>
      <c r="N269" t="s">
        <v>584</v>
      </c>
    </row>
    <row r="270" spans="1:14" x14ac:dyDescent="0.25">
      <c r="A270" t="s">
        <v>585</v>
      </c>
      <c r="B270" s="10">
        <v>46096</v>
      </c>
      <c r="C270" t="str">
        <f t="shared" si="5"/>
        <v>March</v>
      </c>
      <c r="D270" t="s">
        <v>26</v>
      </c>
      <c r="E270" t="s">
        <v>27</v>
      </c>
      <c r="F270" t="s">
        <v>28</v>
      </c>
      <c r="G270" t="s">
        <v>65</v>
      </c>
      <c r="H270" t="s">
        <v>66</v>
      </c>
      <c r="I270" s="2">
        <v>2</v>
      </c>
      <c r="J270" s="2">
        <v>2500000</v>
      </c>
      <c r="K270" s="2">
        <v>5000000</v>
      </c>
      <c r="L270" s="3">
        <v>0</v>
      </c>
      <c r="M270" t="s">
        <v>19</v>
      </c>
      <c r="N270" t="s">
        <v>586</v>
      </c>
    </row>
    <row r="271" spans="1:14" x14ac:dyDescent="0.25">
      <c r="A271" t="s">
        <v>587</v>
      </c>
      <c r="B271" s="10">
        <v>46186</v>
      </c>
      <c r="C271" t="str">
        <f t="shared" si="5"/>
        <v>June</v>
      </c>
      <c r="D271" t="s">
        <v>62</v>
      </c>
      <c r="E271" t="s">
        <v>63</v>
      </c>
      <c r="F271" t="s">
        <v>64</v>
      </c>
      <c r="G271" t="s">
        <v>17</v>
      </c>
      <c r="H271" t="s">
        <v>18</v>
      </c>
      <c r="I271" s="2">
        <v>2</v>
      </c>
      <c r="J271" s="2">
        <v>4000000</v>
      </c>
      <c r="K271" s="2">
        <v>8000000</v>
      </c>
      <c r="L271" s="3">
        <v>0.15</v>
      </c>
      <c r="M271" t="s">
        <v>31</v>
      </c>
      <c r="N271" t="s">
        <v>588</v>
      </c>
    </row>
    <row r="272" spans="1:14" x14ac:dyDescent="0.25">
      <c r="A272" t="s">
        <v>589</v>
      </c>
      <c r="B272" s="10">
        <v>46027</v>
      </c>
      <c r="C272" t="str">
        <f t="shared" si="5"/>
        <v>January</v>
      </c>
      <c r="D272" t="s">
        <v>26</v>
      </c>
      <c r="E272" t="s">
        <v>27</v>
      </c>
      <c r="F272" t="s">
        <v>28</v>
      </c>
      <c r="G272" t="s">
        <v>29</v>
      </c>
      <c r="H272" t="s">
        <v>30</v>
      </c>
      <c r="I272" s="2">
        <v>5</v>
      </c>
      <c r="J272" s="2">
        <v>2500000</v>
      </c>
      <c r="K272" s="2">
        <v>12500000</v>
      </c>
      <c r="L272" s="3">
        <v>0.15</v>
      </c>
      <c r="M272" t="s">
        <v>19</v>
      </c>
      <c r="N272" t="s">
        <v>590</v>
      </c>
    </row>
    <row r="273" spans="1:14" x14ac:dyDescent="0.25">
      <c r="A273" t="s">
        <v>591</v>
      </c>
      <c r="B273" s="10">
        <v>46113</v>
      </c>
      <c r="C273" t="str">
        <f t="shared" si="5"/>
        <v>April</v>
      </c>
      <c r="D273" t="s">
        <v>26</v>
      </c>
      <c r="E273" t="s">
        <v>27</v>
      </c>
      <c r="F273" t="s">
        <v>28</v>
      </c>
      <c r="G273" t="s">
        <v>22</v>
      </c>
      <c r="H273" t="s">
        <v>23</v>
      </c>
      <c r="I273" s="2">
        <v>7</v>
      </c>
      <c r="J273" s="2">
        <v>2500000</v>
      </c>
      <c r="K273" s="2">
        <v>17500000</v>
      </c>
      <c r="L273" s="3">
        <v>0.05</v>
      </c>
      <c r="M273" t="s">
        <v>51</v>
      </c>
      <c r="N273" t="s">
        <v>592</v>
      </c>
    </row>
    <row r="274" spans="1:14" x14ac:dyDescent="0.25">
      <c r="A274" t="s">
        <v>593</v>
      </c>
      <c r="B274" s="10">
        <v>46044</v>
      </c>
      <c r="C274" t="str">
        <f t="shared" si="5"/>
        <v>January</v>
      </c>
      <c r="D274" t="s">
        <v>46</v>
      </c>
      <c r="E274" t="s">
        <v>47</v>
      </c>
      <c r="F274" t="s">
        <v>48</v>
      </c>
      <c r="G274" t="s">
        <v>17</v>
      </c>
      <c r="H274" t="s">
        <v>18</v>
      </c>
      <c r="I274" s="2">
        <v>9</v>
      </c>
      <c r="J274" s="2">
        <v>750000</v>
      </c>
      <c r="K274" s="2">
        <v>6750000</v>
      </c>
      <c r="L274" s="3">
        <v>0</v>
      </c>
      <c r="M274" t="s">
        <v>77</v>
      </c>
      <c r="N274" t="s">
        <v>594</v>
      </c>
    </row>
    <row r="275" spans="1:14" x14ac:dyDescent="0.25">
      <c r="A275" t="s">
        <v>595</v>
      </c>
      <c r="B275" s="10">
        <v>46143</v>
      </c>
      <c r="C275" t="str">
        <f t="shared" si="5"/>
        <v>May</v>
      </c>
      <c r="D275" t="s">
        <v>92</v>
      </c>
      <c r="E275" t="s">
        <v>93</v>
      </c>
      <c r="F275" t="s">
        <v>16</v>
      </c>
      <c r="G275" t="s">
        <v>42</v>
      </c>
      <c r="H275" t="s">
        <v>43</v>
      </c>
      <c r="I275" s="2">
        <v>6</v>
      </c>
      <c r="J275" s="2">
        <v>1500000</v>
      </c>
      <c r="K275" s="2">
        <v>9000000</v>
      </c>
      <c r="L275" s="3">
        <v>0.1</v>
      </c>
      <c r="M275" t="s">
        <v>51</v>
      </c>
      <c r="N275" t="s">
        <v>596</v>
      </c>
    </row>
    <row r="276" spans="1:14" x14ac:dyDescent="0.25">
      <c r="A276" t="s">
        <v>597</v>
      </c>
      <c r="B276" s="10">
        <v>46114</v>
      </c>
      <c r="C276" t="str">
        <f t="shared" si="5"/>
        <v>April</v>
      </c>
      <c r="D276" t="s">
        <v>14</v>
      </c>
      <c r="E276" t="s">
        <v>15</v>
      </c>
      <c r="F276" t="s">
        <v>16</v>
      </c>
      <c r="G276" t="s">
        <v>65</v>
      </c>
      <c r="H276" t="s">
        <v>66</v>
      </c>
      <c r="I276" s="2">
        <v>4</v>
      </c>
      <c r="J276" s="2">
        <v>3500000</v>
      </c>
      <c r="K276" s="2">
        <v>14000000</v>
      </c>
      <c r="L276" s="3">
        <v>0</v>
      </c>
      <c r="M276" t="s">
        <v>31</v>
      </c>
      <c r="N276" t="s">
        <v>598</v>
      </c>
    </row>
    <row r="277" spans="1:14" x14ac:dyDescent="0.25">
      <c r="A277" t="s">
        <v>599</v>
      </c>
      <c r="B277" s="10">
        <v>46216</v>
      </c>
      <c r="C277" t="str">
        <f t="shared" si="5"/>
        <v>July</v>
      </c>
      <c r="D277" t="s">
        <v>46</v>
      </c>
      <c r="E277" t="s">
        <v>47</v>
      </c>
      <c r="F277" t="s">
        <v>48</v>
      </c>
      <c r="G277" t="s">
        <v>29</v>
      </c>
      <c r="H277" t="s">
        <v>30</v>
      </c>
      <c r="I277" s="2">
        <v>1</v>
      </c>
      <c r="J277" s="2">
        <v>750000</v>
      </c>
      <c r="K277" s="2">
        <v>750000</v>
      </c>
      <c r="L277" s="3">
        <v>0.1</v>
      </c>
      <c r="M277" t="s">
        <v>31</v>
      </c>
      <c r="N277" t="s">
        <v>600</v>
      </c>
    </row>
    <row r="278" spans="1:14" x14ac:dyDescent="0.25">
      <c r="A278" t="s">
        <v>601</v>
      </c>
      <c r="B278" s="10">
        <v>46231</v>
      </c>
      <c r="C278" t="str">
        <f t="shared" si="5"/>
        <v>July</v>
      </c>
      <c r="D278" t="s">
        <v>39</v>
      </c>
      <c r="E278" t="s">
        <v>40</v>
      </c>
      <c r="F278" t="s">
        <v>41</v>
      </c>
      <c r="G278" t="s">
        <v>42</v>
      </c>
      <c r="H278" t="s">
        <v>43</v>
      </c>
      <c r="I278" s="2">
        <v>12</v>
      </c>
      <c r="J278" s="2">
        <v>12000000</v>
      </c>
      <c r="K278" s="2">
        <v>144000000</v>
      </c>
      <c r="L278" s="3">
        <v>0.15</v>
      </c>
      <c r="M278" t="s">
        <v>51</v>
      </c>
      <c r="N278" t="s">
        <v>602</v>
      </c>
    </row>
    <row r="279" spans="1:14" x14ac:dyDescent="0.25">
      <c r="A279" t="s">
        <v>603</v>
      </c>
      <c r="B279" s="10">
        <v>46230</v>
      </c>
      <c r="C279" t="str">
        <f t="shared" si="5"/>
        <v>July</v>
      </c>
      <c r="D279" t="s">
        <v>39</v>
      </c>
      <c r="E279" t="s">
        <v>40</v>
      </c>
      <c r="F279" t="s">
        <v>41</v>
      </c>
      <c r="G279" t="s">
        <v>17</v>
      </c>
      <c r="H279" t="s">
        <v>18</v>
      </c>
      <c r="I279" s="2">
        <v>12</v>
      </c>
      <c r="J279" s="2">
        <v>12000000</v>
      </c>
      <c r="K279" s="2">
        <v>144000000</v>
      </c>
      <c r="L279" s="3">
        <v>0.15</v>
      </c>
      <c r="M279" t="s">
        <v>19</v>
      </c>
      <c r="N279" t="s">
        <v>604</v>
      </c>
    </row>
    <row r="280" spans="1:14" x14ac:dyDescent="0.25">
      <c r="A280" t="s">
        <v>605</v>
      </c>
      <c r="B280" s="10">
        <v>46074</v>
      </c>
      <c r="C280" t="str">
        <f t="shared" si="5"/>
        <v>February</v>
      </c>
      <c r="D280" t="s">
        <v>92</v>
      </c>
      <c r="E280" t="s">
        <v>93</v>
      </c>
      <c r="F280" t="s">
        <v>16</v>
      </c>
      <c r="G280" t="s">
        <v>29</v>
      </c>
      <c r="H280" t="s">
        <v>30</v>
      </c>
      <c r="I280" s="2">
        <v>15</v>
      </c>
      <c r="J280" s="2">
        <v>1500000</v>
      </c>
      <c r="K280" s="2">
        <v>22500000</v>
      </c>
      <c r="L280" s="3">
        <v>0</v>
      </c>
      <c r="M280" t="s">
        <v>19</v>
      </c>
      <c r="N280" t="s">
        <v>606</v>
      </c>
    </row>
    <row r="281" spans="1:14" x14ac:dyDescent="0.25">
      <c r="A281" t="s">
        <v>607</v>
      </c>
      <c r="B281" s="10">
        <v>46154</v>
      </c>
      <c r="C281" t="str">
        <f t="shared" si="5"/>
        <v>May</v>
      </c>
      <c r="D281" t="s">
        <v>34</v>
      </c>
      <c r="E281" t="s">
        <v>35</v>
      </c>
      <c r="F281" t="s">
        <v>36</v>
      </c>
      <c r="G281" t="s">
        <v>22</v>
      </c>
      <c r="H281" t="s">
        <v>23</v>
      </c>
      <c r="I281" s="2">
        <v>8</v>
      </c>
      <c r="J281" s="2">
        <v>2000000</v>
      </c>
      <c r="K281" s="2">
        <v>16000000</v>
      </c>
      <c r="L281" s="3">
        <v>0.1</v>
      </c>
      <c r="M281" t="s">
        <v>19</v>
      </c>
      <c r="N281" t="s">
        <v>608</v>
      </c>
    </row>
    <row r="282" spans="1:14" x14ac:dyDescent="0.25">
      <c r="A282" t="s">
        <v>609</v>
      </c>
      <c r="B282" s="10">
        <v>46188</v>
      </c>
      <c r="C282" t="str">
        <f t="shared" si="5"/>
        <v>June</v>
      </c>
      <c r="D282" t="s">
        <v>26</v>
      </c>
      <c r="E282" t="s">
        <v>27</v>
      </c>
      <c r="F282" t="s">
        <v>28</v>
      </c>
      <c r="G282" t="s">
        <v>65</v>
      </c>
      <c r="H282" t="s">
        <v>66</v>
      </c>
      <c r="I282" s="2">
        <v>6</v>
      </c>
      <c r="J282" s="2">
        <v>2500000</v>
      </c>
      <c r="K282" s="2">
        <v>15000000</v>
      </c>
      <c r="L282" s="3">
        <v>0</v>
      </c>
      <c r="M282" t="s">
        <v>51</v>
      </c>
      <c r="N282" t="s">
        <v>610</v>
      </c>
    </row>
    <row r="283" spans="1:14" x14ac:dyDescent="0.25">
      <c r="A283" t="s">
        <v>611</v>
      </c>
      <c r="B283" s="10">
        <v>46092</v>
      </c>
      <c r="C283" t="str">
        <f t="shared" si="5"/>
        <v>March</v>
      </c>
      <c r="D283" t="s">
        <v>14</v>
      </c>
      <c r="E283" t="s">
        <v>15</v>
      </c>
      <c r="F283" t="s">
        <v>16</v>
      </c>
      <c r="G283" t="s">
        <v>65</v>
      </c>
      <c r="H283" t="s">
        <v>66</v>
      </c>
      <c r="I283" s="2">
        <v>7</v>
      </c>
      <c r="J283" s="2">
        <v>3500000</v>
      </c>
      <c r="K283" s="2">
        <v>24500000</v>
      </c>
      <c r="L283" s="3">
        <v>0.15</v>
      </c>
      <c r="M283" t="s">
        <v>51</v>
      </c>
      <c r="N283" t="s">
        <v>612</v>
      </c>
    </row>
    <row r="284" spans="1:14" x14ac:dyDescent="0.25">
      <c r="A284" t="s">
        <v>613</v>
      </c>
      <c r="B284" s="10">
        <v>46121</v>
      </c>
      <c r="C284" t="str">
        <f t="shared" si="5"/>
        <v>April</v>
      </c>
      <c r="D284" t="s">
        <v>46</v>
      </c>
      <c r="E284" t="s">
        <v>47</v>
      </c>
      <c r="F284" t="s">
        <v>48</v>
      </c>
      <c r="G284" t="s">
        <v>29</v>
      </c>
      <c r="H284" t="s">
        <v>30</v>
      </c>
      <c r="I284" s="2">
        <v>8</v>
      </c>
      <c r="J284" s="2">
        <v>750000</v>
      </c>
      <c r="K284" s="2">
        <v>6000000</v>
      </c>
      <c r="L284" s="3">
        <v>0.15</v>
      </c>
      <c r="M284" t="s">
        <v>19</v>
      </c>
      <c r="N284" t="s">
        <v>614</v>
      </c>
    </row>
    <row r="285" spans="1:14" x14ac:dyDescent="0.25">
      <c r="A285" t="s">
        <v>615</v>
      </c>
      <c r="B285" s="10">
        <v>46155</v>
      </c>
      <c r="C285" t="str">
        <f t="shared" si="5"/>
        <v>May</v>
      </c>
      <c r="D285" t="s">
        <v>58</v>
      </c>
      <c r="E285" t="s">
        <v>59</v>
      </c>
      <c r="F285" t="s">
        <v>28</v>
      </c>
      <c r="G285" t="s">
        <v>17</v>
      </c>
      <c r="H285" t="s">
        <v>18</v>
      </c>
      <c r="I285" s="2">
        <v>12</v>
      </c>
      <c r="J285" s="2">
        <v>5500000</v>
      </c>
      <c r="K285" s="2">
        <v>66000000</v>
      </c>
      <c r="L285" s="3">
        <v>0.15</v>
      </c>
      <c r="M285" t="s">
        <v>19</v>
      </c>
      <c r="N285" t="s">
        <v>616</v>
      </c>
    </row>
    <row r="286" spans="1:14" x14ac:dyDescent="0.25">
      <c r="A286" t="s">
        <v>617</v>
      </c>
      <c r="B286" s="10">
        <v>46177</v>
      </c>
      <c r="C286" t="str">
        <f t="shared" si="5"/>
        <v>June</v>
      </c>
      <c r="D286" t="s">
        <v>39</v>
      </c>
      <c r="E286" t="s">
        <v>40</v>
      </c>
      <c r="F286" t="s">
        <v>41</v>
      </c>
      <c r="G286" t="s">
        <v>22</v>
      </c>
      <c r="H286" t="s">
        <v>23</v>
      </c>
      <c r="I286" s="2">
        <v>5</v>
      </c>
      <c r="J286" s="2">
        <v>12000000</v>
      </c>
      <c r="K286" s="2">
        <v>60000000</v>
      </c>
      <c r="L286" s="3">
        <v>0.1</v>
      </c>
      <c r="M286" t="s">
        <v>19</v>
      </c>
      <c r="N286" t="s">
        <v>618</v>
      </c>
    </row>
    <row r="287" spans="1:14" x14ac:dyDescent="0.25">
      <c r="A287" t="s">
        <v>619</v>
      </c>
      <c r="B287" s="10">
        <v>46106</v>
      </c>
      <c r="C287" t="str">
        <f t="shared" si="5"/>
        <v>March</v>
      </c>
      <c r="D287" t="s">
        <v>58</v>
      </c>
      <c r="E287" t="s">
        <v>59</v>
      </c>
      <c r="F287" t="s">
        <v>28</v>
      </c>
      <c r="G287" t="s">
        <v>65</v>
      </c>
      <c r="H287" t="s">
        <v>66</v>
      </c>
      <c r="I287" s="2">
        <v>8</v>
      </c>
      <c r="J287" s="2">
        <v>5500000</v>
      </c>
      <c r="K287" s="2">
        <v>44000000</v>
      </c>
      <c r="L287" s="3">
        <v>0.15</v>
      </c>
      <c r="M287" t="s">
        <v>19</v>
      </c>
      <c r="N287" t="s">
        <v>620</v>
      </c>
    </row>
    <row r="288" spans="1:14" x14ac:dyDescent="0.25">
      <c r="A288" t="s">
        <v>621</v>
      </c>
      <c r="B288" s="10">
        <v>46136</v>
      </c>
      <c r="C288" t="str">
        <f t="shared" si="5"/>
        <v>April</v>
      </c>
      <c r="D288" t="s">
        <v>46</v>
      </c>
      <c r="E288" t="s">
        <v>47</v>
      </c>
      <c r="F288" t="s">
        <v>48</v>
      </c>
      <c r="G288" t="s">
        <v>42</v>
      </c>
      <c r="H288" t="s">
        <v>43</v>
      </c>
      <c r="I288" s="2">
        <v>1</v>
      </c>
      <c r="J288" s="2">
        <v>750000</v>
      </c>
      <c r="K288" s="2">
        <v>750000</v>
      </c>
      <c r="L288" s="3">
        <v>0.1</v>
      </c>
      <c r="M288" t="s">
        <v>31</v>
      </c>
      <c r="N288" t="s">
        <v>622</v>
      </c>
    </row>
    <row r="289" spans="1:14" x14ac:dyDescent="0.25">
      <c r="A289" t="s">
        <v>623</v>
      </c>
      <c r="B289" s="10">
        <v>46093</v>
      </c>
      <c r="C289" t="str">
        <f t="shared" si="5"/>
        <v>March</v>
      </c>
      <c r="D289" t="s">
        <v>92</v>
      </c>
      <c r="E289" t="s">
        <v>93</v>
      </c>
      <c r="F289" t="s">
        <v>16</v>
      </c>
      <c r="G289" t="s">
        <v>17</v>
      </c>
      <c r="H289" t="s">
        <v>18</v>
      </c>
      <c r="I289" s="2">
        <v>11</v>
      </c>
      <c r="J289" s="2">
        <v>1500000</v>
      </c>
      <c r="K289" s="2">
        <v>16500000</v>
      </c>
      <c r="L289" s="3">
        <v>0.15</v>
      </c>
      <c r="M289" t="s">
        <v>19</v>
      </c>
      <c r="N289" t="s">
        <v>624</v>
      </c>
    </row>
    <row r="290" spans="1:14" x14ac:dyDescent="0.25">
      <c r="A290" t="s">
        <v>625</v>
      </c>
      <c r="B290" s="10">
        <v>46228</v>
      </c>
      <c r="C290" t="str">
        <f t="shared" si="5"/>
        <v>July</v>
      </c>
      <c r="D290" t="s">
        <v>39</v>
      </c>
      <c r="E290" t="s">
        <v>40</v>
      </c>
      <c r="F290" t="s">
        <v>41</v>
      </c>
      <c r="G290" t="s">
        <v>17</v>
      </c>
      <c r="H290" t="s">
        <v>18</v>
      </c>
      <c r="I290" s="2">
        <v>3</v>
      </c>
      <c r="J290" s="2">
        <v>12000000</v>
      </c>
      <c r="K290" s="2">
        <v>36000000</v>
      </c>
      <c r="L290" s="3">
        <v>0.15</v>
      </c>
      <c r="M290" t="s">
        <v>19</v>
      </c>
      <c r="N290" t="s">
        <v>626</v>
      </c>
    </row>
    <row r="291" spans="1:14" x14ac:dyDescent="0.25">
      <c r="A291" t="s">
        <v>627</v>
      </c>
      <c r="B291" s="10">
        <v>46040</v>
      </c>
      <c r="C291" t="str">
        <f t="shared" si="5"/>
        <v>January</v>
      </c>
      <c r="D291" t="s">
        <v>26</v>
      </c>
      <c r="E291" t="s">
        <v>27</v>
      </c>
      <c r="F291" t="s">
        <v>28</v>
      </c>
      <c r="G291" t="s">
        <v>65</v>
      </c>
      <c r="H291" t="s">
        <v>66</v>
      </c>
      <c r="I291" s="2">
        <v>6</v>
      </c>
      <c r="J291" s="2">
        <v>2500000</v>
      </c>
      <c r="K291" s="2">
        <v>15000000</v>
      </c>
      <c r="L291" s="3">
        <v>0.15</v>
      </c>
      <c r="M291" t="s">
        <v>31</v>
      </c>
      <c r="N291" t="s">
        <v>628</v>
      </c>
    </row>
    <row r="292" spans="1:14" x14ac:dyDescent="0.25">
      <c r="A292" t="s">
        <v>629</v>
      </c>
      <c r="B292" s="10">
        <v>46177</v>
      </c>
      <c r="C292" t="str">
        <f t="shared" si="5"/>
        <v>June</v>
      </c>
      <c r="D292" t="s">
        <v>39</v>
      </c>
      <c r="E292" t="s">
        <v>40</v>
      </c>
      <c r="F292" t="s">
        <v>41</v>
      </c>
      <c r="G292" t="s">
        <v>42</v>
      </c>
      <c r="H292" t="s">
        <v>43</v>
      </c>
      <c r="I292" s="2">
        <v>6</v>
      </c>
      <c r="J292" s="2">
        <v>12000000</v>
      </c>
      <c r="K292" s="2">
        <v>72000000</v>
      </c>
      <c r="L292" s="3">
        <v>0.1</v>
      </c>
      <c r="M292" t="s">
        <v>77</v>
      </c>
      <c r="N292" t="s">
        <v>630</v>
      </c>
    </row>
    <row r="293" spans="1:14" x14ac:dyDescent="0.25">
      <c r="A293" t="s">
        <v>631</v>
      </c>
      <c r="B293" s="10">
        <v>46042</v>
      </c>
      <c r="C293" t="str">
        <f t="shared" si="5"/>
        <v>January</v>
      </c>
      <c r="D293" t="s">
        <v>39</v>
      </c>
      <c r="E293" t="s">
        <v>40</v>
      </c>
      <c r="F293" t="s">
        <v>41</v>
      </c>
      <c r="G293" t="s">
        <v>22</v>
      </c>
      <c r="H293" t="s">
        <v>23</v>
      </c>
      <c r="I293" s="2">
        <v>6</v>
      </c>
      <c r="J293" s="2">
        <v>12000000</v>
      </c>
      <c r="K293" s="2">
        <v>72000000</v>
      </c>
      <c r="L293" s="3">
        <v>0.15</v>
      </c>
      <c r="M293" t="s">
        <v>19</v>
      </c>
      <c r="N293" t="s">
        <v>632</v>
      </c>
    </row>
    <row r="294" spans="1:14" x14ac:dyDescent="0.25">
      <c r="A294" t="s">
        <v>633</v>
      </c>
      <c r="B294" s="10">
        <v>46094</v>
      </c>
      <c r="C294" t="str">
        <f t="shared" si="5"/>
        <v>March</v>
      </c>
      <c r="D294" t="s">
        <v>26</v>
      </c>
      <c r="E294" t="s">
        <v>27</v>
      </c>
      <c r="F294" t="s">
        <v>28</v>
      </c>
      <c r="G294" t="s">
        <v>17</v>
      </c>
      <c r="H294" t="s">
        <v>18</v>
      </c>
      <c r="I294" s="2">
        <v>1</v>
      </c>
      <c r="J294" s="2">
        <v>2500000</v>
      </c>
      <c r="K294" s="2">
        <v>2500000</v>
      </c>
      <c r="L294" s="3">
        <v>0.05</v>
      </c>
      <c r="M294" t="s">
        <v>77</v>
      </c>
      <c r="N294" t="s">
        <v>634</v>
      </c>
    </row>
    <row r="295" spans="1:14" x14ac:dyDescent="0.25">
      <c r="A295" t="s">
        <v>635</v>
      </c>
      <c r="B295" s="10">
        <v>46122</v>
      </c>
      <c r="C295" t="str">
        <f t="shared" si="5"/>
        <v>April</v>
      </c>
      <c r="D295" t="s">
        <v>14</v>
      </c>
      <c r="E295" t="s">
        <v>15</v>
      </c>
      <c r="F295" t="s">
        <v>16</v>
      </c>
      <c r="G295" t="s">
        <v>65</v>
      </c>
      <c r="H295" t="s">
        <v>66</v>
      </c>
      <c r="I295" s="2">
        <v>13</v>
      </c>
      <c r="J295" s="2">
        <v>3500000</v>
      </c>
      <c r="K295" s="2">
        <v>45500000</v>
      </c>
      <c r="L295" s="3">
        <v>0.1</v>
      </c>
      <c r="M295" t="s">
        <v>51</v>
      </c>
      <c r="N295" t="s">
        <v>636</v>
      </c>
    </row>
    <row r="296" spans="1:14" x14ac:dyDescent="0.25">
      <c r="A296" t="s">
        <v>637</v>
      </c>
      <c r="B296" s="10">
        <v>46077</v>
      </c>
      <c r="C296" t="str">
        <f t="shared" si="5"/>
        <v>February</v>
      </c>
      <c r="D296" t="s">
        <v>58</v>
      </c>
      <c r="E296" t="s">
        <v>59</v>
      </c>
      <c r="F296" t="s">
        <v>28</v>
      </c>
      <c r="G296" t="s">
        <v>42</v>
      </c>
      <c r="H296" t="s">
        <v>43</v>
      </c>
      <c r="I296" s="2">
        <v>4</v>
      </c>
      <c r="J296" s="2">
        <v>5500000</v>
      </c>
      <c r="K296" s="2">
        <v>22000000</v>
      </c>
      <c r="L296" s="3">
        <v>0</v>
      </c>
      <c r="M296" t="s">
        <v>19</v>
      </c>
      <c r="N296" t="s">
        <v>638</v>
      </c>
    </row>
    <row r="297" spans="1:14" x14ac:dyDescent="0.25">
      <c r="A297" t="s">
        <v>639</v>
      </c>
      <c r="B297" s="10">
        <v>46041</v>
      </c>
      <c r="C297" t="str">
        <f t="shared" si="5"/>
        <v>January</v>
      </c>
      <c r="D297" t="s">
        <v>62</v>
      </c>
      <c r="E297" t="s">
        <v>63</v>
      </c>
      <c r="F297" t="s">
        <v>64</v>
      </c>
      <c r="G297" t="s">
        <v>29</v>
      </c>
      <c r="H297" t="s">
        <v>30</v>
      </c>
      <c r="I297" s="2">
        <v>15</v>
      </c>
      <c r="J297" s="2">
        <v>4000000</v>
      </c>
      <c r="K297" s="2">
        <v>60000000</v>
      </c>
      <c r="L297" s="3">
        <v>0.15</v>
      </c>
      <c r="M297" t="s">
        <v>19</v>
      </c>
      <c r="N297" t="s">
        <v>640</v>
      </c>
    </row>
    <row r="298" spans="1:14" x14ac:dyDescent="0.25">
      <c r="A298" t="s">
        <v>641</v>
      </c>
      <c r="B298" s="10">
        <v>46197</v>
      </c>
      <c r="C298" t="str">
        <f t="shared" si="5"/>
        <v>June</v>
      </c>
      <c r="D298" t="s">
        <v>46</v>
      </c>
      <c r="E298" t="s">
        <v>47</v>
      </c>
      <c r="F298" t="s">
        <v>48</v>
      </c>
      <c r="G298" t="s">
        <v>65</v>
      </c>
      <c r="H298" t="s">
        <v>66</v>
      </c>
      <c r="I298" s="2">
        <v>12</v>
      </c>
      <c r="J298" s="2">
        <v>750000</v>
      </c>
      <c r="K298" s="2">
        <v>9000000</v>
      </c>
      <c r="L298" s="3">
        <v>0</v>
      </c>
      <c r="M298" t="s">
        <v>31</v>
      </c>
      <c r="N298" t="s">
        <v>642</v>
      </c>
    </row>
    <row r="299" spans="1:14" x14ac:dyDescent="0.25">
      <c r="A299" t="s">
        <v>643</v>
      </c>
      <c r="B299" s="10">
        <v>46097</v>
      </c>
      <c r="C299" t="str">
        <f t="shared" si="5"/>
        <v>March</v>
      </c>
      <c r="D299" t="s">
        <v>58</v>
      </c>
      <c r="E299" t="s">
        <v>59</v>
      </c>
      <c r="F299" t="s">
        <v>28</v>
      </c>
      <c r="G299" t="s">
        <v>29</v>
      </c>
      <c r="H299" t="s">
        <v>30</v>
      </c>
      <c r="I299" s="2">
        <v>12</v>
      </c>
      <c r="J299" s="2">
        <v>5500000</v>
      </c>
      <c r="K299" s="2">
        <v>66000000</v>
      </c>
      <c r="L299" s="3">
        <v>0.05</v>
      </c>
      <c r="M299" t="s">
        <v>19</v>
      </c>
      <c r="N299" t="s">
        <v>644</v>
      </c>
    </row>
    <row r="300" spans="1:14" x14ac:dyDescent="0.25">
      <c r="A300" t="s">
        <v>645</v>
      </c>
      <c r="B300" s="10">
        <v>46080</v>
      </c>
      <c r="C300" t="str">
        <f t="shared" si="5"/>
        <v>February</v>
      </c>
      <c r="D300" t="s">
        <v>14</v>
      </c>
      <c r="E300" t="s">
        <v>15</v>
      </c>
      <c r="F300" t="s">
        <v>16</v>
      </c>
      <c r="G300" t="s">
        <v>29</v>
      </c>
      <c r="H300" t="s">
        <v>30</v>
      </c>
      <c r="I300" s="2">
        <v>13</v>
      </c>
      <c r="J300" s="2">
        <v>3500000</v>
      </c>
      <c r="K300" s="2">
        <v>45500000</v>
      </c>
      <c r="L300" s="3">
        <v>0.05</v>
      </c>
      <c r="M300" t="s">
        <v>19</v>
      </c>
      <c r="N300" t="s">
        <v>646</v>
      </c>
    </row>
    <row r="301" spans="1:14" x14ac:dyDescent="0.25">
      <c r="A301" t="s">
        <v>647</v>
      </c>
      <c r="B301" s="10">
        <v>46149</v>
      </c>
      <c r="C301" t="str">
        <f t="shared" si="5"/>
        <v>May</v>
      </c>
      <c r="D301" t="s">
        <v>92</v>
      </c>
      <c r="E301" t="s">
        <v>93</v>
      </c>
      <c r="F301" t="s">
        <v>16</v>
      </c>
      <c r="G301" t="s">
        <v>65</v>
      </c>
      <c r="H301" t="s">
        <v>66</v>
      </c>
      <c r="I301" s="2">
        <v>9</v>
      </c>
      <c r="J301" s="2">
        <v>1500000</v>
      </c>
      <c r="K301" s="2">
        <v>13500000</v>
      </c>
      <c r="L301" s="3">
        <v>0.1</v>
      </c>
      <c r="M301" t="s">
        <v>77</v>
      </c>
      <c r="N301" t="s">
        <v>648</v>
      </c>
    </row>
    <row r="302" spans="1:14" x14ac:dyDescent="0.25">
      <c r="A302" t="s">
        <v>649</v>
      </c>
      <c r="B302" s="10">
        <v>46164</v>
      </c>
      <c r="C302" t="str">
        <f t="shared" si="5"/>
        <v>May</v>
      </c>
      <c r="D302" t="s">
        <v>39</v>
      </c>
      <c r="E302" t="s">
        <v>40</v>
      </c>
      <c r="F302" t="s">
        <v>41</v>
      </c>
      <c r="G302" t="s">
        <v>22</v>
      </c>
      <c r="H302" t="s">
        <v>23</v>
      </c>
      <c r="I302" s="2">
        <v>15</v>
      </c>
      <c r="J302" s="2">
        <v>12000000</v>
      </c>
      <c r="K302" s="2">
        <v>180000000</v>
      </c>
      <c r="L302" s="3">
        <v>0</v>
      </c>
      <c r="M302" t="s">
        <v>19</v>
      </c>
      <c r="N302" t="s">
        <v>650</v>
      </c>
    </row>
    <row r="303" spans="1:14" x14ac:dyDescent="0.25">
      <c r="A303" t="s">
        <v>651</v>
      </c>
      <c r="B303" s="10">
        <v>46124</v>
      </c>
      <c r="C303" t="str">
        <f t="shared" si="5"/>
        <v>April</v>
      </c>
      <c r="D303" t="s">
        <v>62</v>
      </c>
      <c r="E303" t="s">
        <v>63</v>
      </c>
      <c r="F303" t="s">
        <v>64</v>
      </c>
      <c r="G303" t="s">
        <v>22</v>
      </c>
      <c r="H303" t="s">
        <v>23</v>
      </c>
      <c r="I303" s="2">
        <v>7</v>
      </c>
      <c r="J303" s="2">
        <v>4000000</v>
      </c>
      <c r="K303" s="2">
        <v>28000000</v>
      </c>
      <c r="L303" s="3">
        <v>0.15</v>
      </c>
      <c r="M303" t="s">
        <v>31</v>
      </c>
      <c r="N303" t="s">
        <v>652</v>
      </c>
    </row>
    <row r="304" spans="1:14" x14ac:dyDescent="0.25">
      <c r="A304" t="s">
        <v>653</v>
      </c>
      <c r="B304" s="10">
        <v>46055</v>
      </c>
      <c r="C304" t="str">
        <f t="shared" si="5"/>
        <v>February</v>
      </c>
      <c r="D304" t="s">
        <v>46</v>
      </c>
      <c r="E304" t="s">
        <v>47</v>
      </c>
      <c r="F304" t="s">
        <v>48</v>
      </c>
      <c r="G304" t="s">
        <v>17</v>
      </c>
      <c r="H304" t="s">
        <v>18</v>
      </c>
      <c r="I304" s="2">
        <v>8</v>
      </c>
      <c r="J304" s="2">
        <v>750000</v>
      </c>
      <c r="K304" s="2">
        <v>6000000</v>
      </c>
      <c r="L304" s="3">
        <v>0.15</v>
      </c>
      <c r="M304" t="s">
        <v>51</v>
      </c>
      <c r="N304" t="s">
        <v>654</v>
      </c>
    </row>
    <row r="305" spans="1:14" x14ac:dyDescent="0.25">
      <c r="A305" t="s">
        <v>655</v>
      </c>
      <c r="B305" s="10">
        <v>46111</v>
      </c>
      <c r="C305" t="str">
        <f t="shared" si="5"/>
        <v>March</v>
      </c>
      <c r="D305" t="s">
        <v>39</v>
      </c>
      <c r="E305" t="s">
        <v>40</v>
      </c>
      <c r="F305" t="s">
        <v>41</v>
      </c>
      <c r="G305" t="s">
        <v>22</v>
      </c>
      <c r="H305" t="s">
        <v>23</v>
      </c>
      <c r="I305" s="2">
        <v>11</v>
      </c>
      <c r="J305" s="2">
        <v>12000000</v>
      </c>
      <c r="K305" s="2">
        <v>132000000</v>
      </c>
      <c r="L305" s="3">
        <v>0.05</v>
      </c>
      <c r="M305" t="s">
        <v>19</v>
      </c>
      <c r="N305" t="s">
        <v>656</v>
      </c>
    </row>
    <row r="306" spans="1:14" x14ac:dyDescent="0.25">
      <c r="A306" t="s">
        <v>657</v>
      </c>
      <c r="B306" s="10">
        <v>46151</v>
      </c>
      <c r="C306" t="str">
        <f t="shared" si="5"/>
        <v>May</v>
      </c>
      <c r="D306" t="s">
        <v>92</v>
      </c>
      <c r="E306" t="s">
        <v>93</v>
      </c>
      <c r="F306" t="s">
        <v>16</v>
      </c>
      <c r="G306" t="s">
        <v>17</v>
      </c>
      <c r="H306" t="s">
        <v>18</v>
      </c>
      <c r="I306" s="2">
        <v>9</v>
      </c>
      <c r="J306" s="2">
        <v>1500000</v>
      </c>
      <c r="K306" s="2">
        <v>13500000</v>
      </c>
      <c r="L306" s="3">
        <v>0.05</v>
      </c>
      <c r="M306" t="s">
        <v>19</v>
      </c>
      <c r="N306" t="s">
        <v>658</v>
      </c>
    </row>
    <row r="307" spans="1:14" x14ac:dyDescent="0.25">
      <c r="A307" t="s">
        <v>659</v>
      </c>
      <c r="B307" s="10">
        <v>46064</v>
      </c>
      <c r="C307" t="str">
        <f t="shared" si="5"/>
        <v>February</v>
      </c>
      <c r="D307" t="s">
        <v>46</v>
      </c>
      <c r="E307" t="s">
        <v>47</v>
      </c>
      <c r="F307" t="s">
        <v>48</v>
      </c>
      <c r="G307" t="s">
        <v>29</v>
      </c>
      <c r="H307" t="s">
        <v>30</v>
      </c>
      <c r="I307" s="2">
        <v>6</v>
      </c>
      <c r="J307" s="2">
        <v>750000</v>
      </c>
      <c r="K307" s="2">
        <v>4500000</v>
      </c>
      <c r="L307" s="3">
        <v>0.1</v>
      </c>
      <c r="M307" t="s">
        <v>19</v>
      </c>
      <c r="N307" t="s">
        <v>660</v>
      </c>
    </row>
    <row r="308" spans="1:14" x14ac:dyDescent="0.25">
      <c r="A308" t="s">
        <v>661</v>
      </c>
      <c r="B308" s="10">
        <v>46073</v>
      </c>
      <c r="C308" t="str">
        <f t="shared" si="5"/>
        <v>February</v>
      </c>
      <c r="D308" t="s">
        <v>58</v>
      </c>
      <c r="E308" t="s">
        <v>59</v>
      </c>
      <c r="F308" t="s">
        <v>28</v>
      </c>
      <c r="G308" t="s">
        <v>29</v>
      </c>
      <c r="H308" t="s">
        <v>30</v>
      </c>
      <c r="I308" s="2">
        <v>11</v>
      </c>
      <c r="J308" s="2">
        <v>5500000</v>
      </c>
      <c r="K308" s="2">
        <v>60500000</v>
      </c>
      <c r="L308" s="3">
        <v>0.1</v>
      </c>
      <c r="M308" t="s">
        <v>31</v>
      </c>
      <c r="N308" t="s">
        <v>662</v>
      </c>
    </row>
    <row r="309" spans="1:14" x14ac:dyDescent="0.25">
      <c r="A309" t="s">
        <v>663</v>
      </c>
      <c r="B309" s="10">
        <v>46046</v>
      </c>
      <c r="C309" t="str">
        <f t="shared" si="5"/>
        <v>January</v>
      </c>
      <c r="D309" t="s">
        <v>39</v>
      </c>
      <c r="E309" t="s">
        <v>40</v>
      </c>
      <c r="F309" t="s">
        <v>41</v>
      </c>
      <c r="G309" t="s">
        <v>22</v>
      </c>
      <c r="H309" t="s">
        <v>23</v>
      </c>
      <c r="I309" s="2">
        <v>10</v>
      </c>
      <c r="J309" s="2">
        <v>12000000</v>
      </c>
      <c r="K309" s="2">
        <v>120000000</v>
      </c>
      <c r="L309" s="3">
        <v>0.05</v>
      </c>
      <c r="M309" t="s">
        <v>19</v>
      </c>
      <c r="N309" t="s">
        <v>664</v>
      </c>
    </row>
    <row r="310" spans="1:14" x14ac:dyDescent="0.25">
      <c r="A310" t="s">
        <v>665</v>
      </c>
      <c r="B310" s="10">
        <v>46182</v>
      </c>
      <c r="C310" t="str">
        <f t="shared" si="5"/>
        <v>June</v>
      </c>
      <c r="D310" t="s">
        <v>46</v>
      </c>
      <c r="E310" t="s">
        <v>47</v>
      </c>
      <c r="F310" t="s">
        <v>48</v>
      </c>
      <c r="G310" t="s">
        <v>22</v>
      </c>
      <c r="H310" t="s">
        <v>23</v>
      </c>
      <c r="I310" s="2">
        <v>1</v>
      </c>
      <c r="J310" s="2">
        <v>750000</v>
      </c>
      <c r="K310" s="2">
        <v>750000</v>
      </c>
      <c r="L310" s="3">
        <v>0</v>
      </c>
      <c r="M310" t="s">
        <v>19</v>
      </c>
      <c r="N310" t="s">
        <v>666</v>
      </c>
    </row>
    <row r="311" spans="1:14" x14ac:dyDescent="0.25">
      <c r="A311" t="s">
        <v>667</v>
      </c>
      <c r="B311" s="10">
        <v>46187</v>
      </c>
      <c r="C311" t="str">
        <f t="shared" si="5"/>
        <v>June</v>
      </c>
      <c r="D311" t="s">
        <v>58</v>
      </c>
      <c r="E311" t="s">
        <v>59</v>
      </c>
      <c r="F311" t="s">
        <v>28</v>
      </c>
      <c r="G311" t="s">
        <v>29</v>
      </c>
      <c r="H311" t="s">
        <v>30</v>
      </c>
      <c r="I311" s="2">
        <v>13</v>
      </c>
      <c r="J311" s="2">
        <v>5500000</v>
      </c>
      <c r="K311" s="2">
        <v>71500000</v>
      </c>
      <c r="L311" s="3">
        <v>0.15</v>
      </c>
      <c r="M311" t="s">
        <v>31</v>
      </c>
      <c r="N311" t="s">
        <v>668</v>
      </c>
    </row>
    <row r="312" spans="1:14" x14ac:dyDescent="0.25">
      <c r="A312" t="s">
        <v>669</v>
      </c>
      <c r="B312" s="10">
        <v>46030</v>
      </c>
      <c r="C312" t="str">
        <f t="shared" si="5"/>
        <v>January</v>
      </c>
      <c r="D312" t="s">
        <v>62</v>
      </c>
      <c r="E312" t="s">
        <v>63</v>
      </c>
      <c r="F312" t="s">
        <v>64</v>
      </c>
      <c r="G312" t="s">
        <v>22</v>
      </c>
      <c r="H312" t="s">
        <v>23</v>
      </c>
      <c r="I312" s="2">
        <v>5</v>
      </c>
      <c r="J312" s="2">
        <v>4000000</v>
      </c>
      <c r="K312" s="2">
        <v>20000000</v>
      </c>
      <c r="L312" s="3">
        <v>0.1</v>
      </c>
      <c r="M312" t="s">
        <v>77</v>
      </c>
      <c r="N312" t="s">
        <v>670</v>
      </c>
    </row>
    <row r="313" spans="1:14" x14ac:dyDescent="0.25">
      <c r="A313" t="s">
        <v>671</v>
      </c>
      <c r="B313" s="10">
        <v>46229</v>
      </c>
      <c r="C313" t="str">
        <f t="shared" si="5"/>
        <v>July</v>
      </c>
      <c r="D313" t="s">
        <v>34</v>
      </c>
      <c r="E313" t="s">
        <v>35</v>
      </c>
      <c r="F313" t="s">
        <v>36</v>
      </c>
      <c r="G313" t="s">
        <v>65</v>
      </c>
      <c r="H313" t="s">
        <v>66</v>
      </c>
      <c r="I313" s="2">
        <v>8</v>
      </c>
      <c r="J313" s="2">
        <v>2000000</v>
      </c>
      <c r="K313" s="2">
        <v>16000000</v>
      </c>
      <c r="L313" s="3">
        <v>0</v>
      </c>
      <c r="M313" t="s">
        <v>51</v>
      </c>
      <c r="N313" t="s">
        <v>672</v>
      </c>
    </row>
    <row r="314" spans="1:14" x14ac:dyDescent="0.25">
      <c r="A314" t="s">
        <v>673</v>
      </c>
      <c r="B314" s="10">
        <v>46063</v>
      </c>
      <c r="C314" t="str">
        <f t="shared" si="5"/>
        <v>February</v>
      </c>
      <c r="D314" t="s">
        <v>62</v>
      </c>
      <c r="E314" t="s">
        <v>63</v>
      </c>
      <c r="F314" t="s">
        <v>64</v>
      </c>
      <c r="G314" t="s">
        <v>42</v>
      </c>
      <c r="H314" t="s">
        <v>43</v>
      </c>
      <c r="I314" s="2">
        <v>8</v>
      </c>
      <c r="J314" s="2">
        <v>4000000</v>
      </c>
      <c r="K314" s="2">
        <v>32000000</v>
      </c>
      <c r="L314" s="3">
        <v>0.15</v>
      </c>
      <c r="M314" t="s">
        <v>19</v>
      </c>
      <c r="N314" t="s">
        <v>674</v>
      </c>
    </row>
    <row r="315" spans="1:14" x14ac:dyDescent="0.25">
      <c r="A315" t="s">
        <v>675</v>
      </c>
      <c r="B315" s="10">
        <v>46178</v>
      </c>
      <c r="C315" t="str">
        <f t="shared" si="5"/>
        <v>June</v>
      </c>
      <c r="D315" t="s">
        <v>39</v>
      </c>
      <c r="E315" t="s">
        <v>40</v>
      </c>
      <c r="F315" t="s">
        <v>41</v>
      </c>
      <c r="G315" t="s">
        <v>65</v>
      </c>
      <c r="H315" t="s">
        <v>66</v>
      </c>
      <c r="I315" s="2">
        <v>14</v>
      </c>
      <c r="J315" s="2">
        <v>12000000</v>
      </c>
      <c r="K315" s="2">
        <v>168000000</v>
      </c>
      <c r="L315" s="3">
        <v>0.1</v>
      </c>
      <c r="M315" t="s">
        <v>51</v>
      </c>
      <c r="N315" t="s">
        <v>676</v>
      </c>
    </row>
    <row r="316" spans="1:14" x14ac:dyDescent="0.25">
      <c r="A316" t="s">
        <v>677</v>
      </c>
      <c r="B316" s="10">
        <v>46111</v>
      </c>
      <c r="C316" t="str">
        <f t="shared" si="5"/>
        <v>March</v>
      </c>
      <c r="D316" t="s">
        <v>34</v>
      </c>
      <c r="E316" t="s">
        <v>35</v>
      </c>
      <c r="F316" t="s">
        <v>36</v>
      </c>
      <c r="G316" t="s">
        <v>29</v>
      </c>
      <c r="H316" t="s">
        <v>30</v>
      </c>
      <c r="I316" s="2">
        <v>13</v>
      </c>
      <c r="J316" s="2">
        <v>2000000</v>
      </c>
      <c r="K316" s="2">
        <v>26000000</v>
      </c>
      <c r="L316" s="3">
        <v>0.1</v>
      </c>
      <c r="M316" t="s">
        <v>31</v>
      </c>
      <c r="N316" t="s">
        <v>678</v>
      </c>
    </row>
    <row r="317" spans="1:14" x14ac:dyDescent="0.25">
      <c r="A317" t="s">
        <v>679</v>
      </c>
      <c r="B317" s="10">
        <v>46050</v>
      </c>
      <c r="C317" t="str">
        <f t="shared" si="5"/>
        <v>January</v>
      </c>
      <c r="D317" t="s">
        <v>46</v>
      </c>
      <c r="E317" t="s">
        <v>47</v>
      </c>
      <c r="F317" t="s">
        <v>48</v>
      </c>
      <c r="G317" t="s">
        <v>29</v>
      </c>
      <c r="H317" t="s">
        <v>30</v>
      </c>
      <c r="I317" s="2">
        <v>8</v>
      </c>
      <c r="J317" s="2">
        <v>750000</v>
      </c>
      <c r="K317" s="2">
        <v>6000000</v>
      </c>
      <c r="L317" s="3">
        <v>0</v>
      </c>
      <c r="M317" t="s">
        <v>19</v>
      </c>
      <c r="N317" t="s">
        <v>680</v>
      </c>
    </row>
    <row r="318" spans="1:14" x14ac:dyDescent="0.25">
      <c r="A318" t="s">
        <v>681</v>
      </c>
      <c r="B318" s="10">
        <v>46086</v>
      </c>
      <c r="C318" t="str">
        <f t="shared" si="5"/>
        <v>March</v>
      </c>
      <c r="D318" t="s">
        <v>39</v>
      </c>
      <c r="E318" t="s">
        <v>40</v>
      </c>
      <c r="F318" t="s">
        <v>41</v>
      </c>
      <c r="G318" t="s">
        <v>17</v>
      </c>
      <c r="H318" t="s">
        <v>18</v>
      </c>
      <c r="I318" s="2">
        <v>1</v>
      </c>
      <c r="J318" s="2">
        <v>12000000</v>
      </c>
      <c r="K318" s="2">
        <v>12000000</v>
      </c>
      <c r="L318" s="3">
        <v>0.1</v>
      </c>
      <c r="M318" t="s">
        <v>77</v>
      </c>
      <c r="N318" t="s">
        <v>682</v>
      </c>
    </row>
    <row r="319" spans="1:14" x14ac:dyDescent="0.25">
      <c r="A319" t="s">
        <v>683</v>
      </c>
      <c r="B319" s="10">
        <v>46180</v>
      </c>
      <c r="C319" t="str">
        <f t="shared" si="5"/>
        <v>June</v>
      </c>
      <c r="D319" t="s">
        <v>34</v>
      </c>
      <c r="E319" t="s">
        <v>35</v>
      </c>
      <c r="F319" t="s">
        <v>36</v>
      </c>
      <c r="G319" t="s">
        <v>29</v>
      </c>
      <c r="H319" t="s">
        <v>30</v>
      </c>
      <c r="I319" s="2">
        <v>14</v>
      </c>
      <c r="J319" s="2">
        <v>2000000</v>
      </c>
      <c r="K319" s="2">
        <v>28000000</v>
      </c>
      <c r="L319" s="3">
        <v>0.05</v>
      </c>
      <c r="M319" t="s">
        <v>19</v>
      </c>
      <c r="N319" t="s">
        <v>684</v>
      </c>
    </row>
    <row r="320" spans="1:14" x14ac:dyDescent="0.25">
      <c r="A320" t="s">
        <v>685</v>
      </c>
      <c r="B320" s="10">
        <v>46207</v>
      </c>
      <c r="C320" t="str">
        <f t="shared" si="5"/>
        <v>July</v>
      </c>
      <c r="D320" t="s">
        <v>46</v>
      </c>
      <c r="E320" t="s">
        <v>47</v>
      </c>
      <c r="F320" t="s">
        <v>48</v>
      </c>
      <c r="G320" t="s">
        <v>29</v>
      </c>
      <c r="H320" t="s">
        <v>30</v>
      </c>
      <c r="I320" s="2">
        <v>13</v>
      </c>
      <c r="J320" s="2">
        <v>750000</v>
      </c>
      <c r="K320" s="2">
        <v>9750000</v>
      </c>
      <c r="L320" s="3">
        <v>0.05</v>
      </c>
      <c r="M320" t="s">
        <v>77</v>
      </c>
      <c r="N320" t="s">
        <v>686</v>
      </c>
    </row>
    <row r="321" spans="1:14" x14ac:dyDescent="0.25">
      <c r="A321" t="s">
        <v>687</v>
      </c>
      <c r="B321" s="10">
        <v>46142</v>
      </c>
      <c r="C321" t="str">
        <f t="shared" si="5"/>
        <v>April</v>
      </c>
      <c r="D321" t="s">
        <v>62</v>
      </c>
      <c r="E321" t="s">
        <v>63</v>
      </c>
      <c r="F321" t="s">
        <v>64</v>
      </c>
      <c r="G321" t="s">
        <v>65</v>
      </c>
      <c r="H321" t="s">
        <v>66</v>
      </c>
      <c r="I321" s="2">
        <v>8</v>
      </c>
      <c r="J321" s="2">
        <v>4000000</v>
      </c>
      <c r="K321" s="2">
        <v>32000000</v>
      </c>
      <c r="L321" s="3">
        <v>0</v>
      </c>
      <c r="M321" t="s">
        <v>19</v>
      </c>
      <c r="N321" t="s">
        <v>688</v>
      </c>
    </row>
    <row r="322" spans="1:14" x14ac:dyDescent="0.25">
      <c r="A322" t="s">
        <v>689</v>
      </c>
      <c r="B322" s="10">
        <v>46152</v>
      </c>
      <c r="C322" t="str">
        <f t="shared" si="5"/>
        <v>May</v>
      </c>
      <c r="D322" t="s">
        <v>62</v>
      </c>
      <c r="E322" t="s">
        <v>63</v>
      </c>
      <c r="F322" t="s">
        <v>64</v>
      </c>
      <c r="G322" t="s">
        <v>29</v>
      </c>
      <c r="H322" t="s">
        <v>30</v>
      </c>
      <c r="I322" s="2">
        <v>4</v>
      </c>
      <c r="J322" s="2">
        <v>4000000</v>
      </c>
      <c r="K322" s="2">
        <v>16000000</v>
      </c>
      <c r="L322" s="3">
        <v>0.1</v>
      </c>
      <c r="M322" t="s">
        <v>19</v>
      </c>
      <c r="N322" t="s">
        <v>690</v>
      </c>
    </row>
    <row r="323" spans="1:14" x14ac:dyDescent="0.25">
      <c r="A323" t="s">
        <v>691</v>
      </c>
      <c r="B323" s="10">
        <v>46095</v>
      </c>
      <c r="C323" t="str">
        <f t="shared" ref="C323:C386" si="6">TEXT(B323, "MMMM")</f>
        <v>March</v>
      </c>
      <c r="D323" t="s">
        <v>62</v>
      </c>
      <c r="E323" t="s">
        <v>63</v>
      </c>
      <c r="F323" t="s">
        <v>64</v>
      </c>
      <c r="G323" t="s">
        <v>22</v>
      </c>
      <c r="H323" t="s">
        <v>23</v>
      </c>
      <c r="I323" s="2">
        <v>15</v>
      </c>
      <c r="J323" s="2">
        <v>4000000</v>
      </c>
      <c r="K323" s="2">
        <v>60000000</v>
      </c>
      <c r="L323" s="3">
        <v>0.15</v>
      </c>
      <c r="M323" t="s">
        <v>19</v>
      </c>
      <c r="N323" t="s">
        <v>692</v>
      </c>
    </row>
    <row r="324" spans="1:14" x14ac:dyDescent="0.25">
      <c r="A324" t="s">
        <v>693</v>
      </c>
      <c r="B324" s="10">
        <v>46025</v>
      </c>
      <c r="C324" t="str">
        <f t="shared" si="6"/>
        <v>January</v>
      </c>
      <c r="D324" t="s">
        <v>14</v>
      </c>
      <c r="E324" t="s">
        <v>15</v>
      </c>
      <c r="F324" t="s">
        <v>16</v>
      </c>
      <c r="G324" t="s">
        <v>42</v>
      </c>
      <c r="H324" t="s">
        <v>43</v>
      </c>
      <c r="I324" s="2">
        <v>3</v>
      </c>
      <c r="J324" s="2">
        <v>3500000</v>
      </c>
      <c r="K324" s="2">
        <v>10500000</v>
      </c>
      <c r="L324" s="3">
        <v>0.1</v>
      </c>
      <c r="M324" t="s">
        <v>51</v>
      </c>
      <c r="N324" t="s">
        <v>694</v>
      </c>
    </row>
    <row r="325" spans="1:14" x14ac:dyDescent="0.25">
      <c r="A325" t="s">
        <v>695</v>
      </c>
      <c r="B325" s="10">
        <v>46218</v>
      </c>
      <c r="C325" t="str">
        <f t="shared" si="6"/>
        <v>July</v>
      </c>
      <c r="D325" t="s">
        <v>34</v>
      </c>
      <c r="E325" t="s">
        <v>35</v>
      </c>
      <c r="F325" t="s">
        <v>36</v>
      </c>
      <c r="G325" t="s">
        <v>65</v>
      </c>
      <c r="H325" t="s">
        <v>66</v>
      </c>
      <c r="I325" s="2">
        <v>1</v>
      </c>
      <c r="J325" s="2">
        <v>2000000</v>
      </c>
      <c r="K325" s="2">
        <v>2000000</v>
      </c>
      <c r="L325" s="3">
        <v>0.15</v>
      </c>
      <c r="M325" t="s">
        <v>19</v>
      </c>
      <c r="N325" t="s">
        <v>696</v>
      </c>
    </row>
    <row r="326" spans="1:14" x14ac:dyDescent="0.25">
      <c r="A326" t="s">
        <v>697</v>
      </c>
      <c r="B326" s="10">
        <v>46166</v>
      </c>
      <c r="C326" t="str">
        <f t="shared" si="6"/>
        <v>May</v>
      </c>
      <c r="D326" t="s">
        <v>26</v>
      </c>
      <c r="E326" t="s">
        <v>27</v>
      </c>
      <c r="F326" t="s">
        <v>28</v>
      </c>
      <c r="G326" t="s">
        <v>65</v>
      </c>
      <c r="H326" t="s">
        <v>66</v>
      </c>
      <c r="I326" s="2">
        <v>9</v>
      </c>
      <c r="J326" s="2">
        <v>2500000</v>
      </c>
      <c r="K326" s="2">
        <v>22500000</v>
      </c>
      <c r="L326" s="3">
        <v>0.1</v>
      </c>
      <c r="M326" t="s">
        <v>19</v>
      </c>
      <c r="N326" t="s">
        <v>698</v>
      </c>
    </row>
    <row r="327" spans="1:14" x14ac:dyDescent="0.25">
      <c r="A327" t="s">
        <v>699</v>
      </c>
      <c r="B327" s="10">
        <v>46152</v>
      </c>
      <c r="C327" t="str">
        <f t="shared" si="6"/>
        <v>May</v>
      </c>
      <c r="D327" t="s">
        <v>62</v>
      </c>
      <c r="E327" t="s">
        <v>63</v>
      </c>
      <c r="F327" t="s">
        <v>64</v>
      </c>
      <c r="G327" t="s">
        <v>22</v>
      </c>
      <c r="H327" t="s">
        <v>23</v>
      </c>
      <c r="I327" s="2">
        <v>5</v>
      </c>
      <c r="J327" s="2">
        <v>4000000</v>
      </c>
      <c r="K327" s="2">
        <v>20000000</v>
      </c>
      <c r="L327" s="3">
        <v>0</v>
      </c>
      <c r="M327" t="s">
        <v>19</v>
      </c>
      <c r="N327" t="s">
        <v>700</v>
      </c>
    </row>
    <row r="328" spans="1:14" x14ac:dyDescent="0.25">
      <c r="A328" t="s">
        <v>701</v>
      </c>
      <c r="B328" s="10">
        <v>46123</v>
      </c>
      <c r="C328" t="str">
        <f t="shared" si="6"/>
        <v>April</v>
      </c>
      <c r="D328" t="s">
        <v>46</v>
      </c>
      <c r="E328" t="s">
        <v>47</v>
      </c>
      <c r="F328" t="s">
        <v>48</v>
      </c>
      <c r="G328" t="s">
        <v>65</v>
      </c>
      <c r="H328" t="s">
        <v>66</v>
      </c>
      <c r="I328" s="2">
        <v>9</v>
      </c>
      <c r="J328" s="2">
        <v>750000</v>
      </c>
      <c r="K328" s="2">
        <v>6750000</v>
      </c>
      <c r="L328" s="3">
        <v>0.1</v>
      </c>
      <c r="M328" t="s">
        <v>19</v>
      </c>
      <c r="N328" t="s">
        <v>702</v>
      </c>
    </row>
    <row r="329" spans="1:14" x14ac:dyDescent="0.25">
      <c r="A329" t="s">
        <v>703</v>
      </c>
      <c r="B329" s="10">
        <v>46177</v>
      </c>
      <c r="C329" t="str">
        <f t="shared" si="6"/>
        <v>June</v>
      </c>
      <c r="D329" t="s">
        <v>34</v>
      </c>
      <c r="E329" t="s">
        <v>35</v>
      </c>
      <c r="F329" t="s">
        <v>36</v>
      </c>
      <c r="G329" t="s">
        <v>22</v>
      </c>
      <c r="H329" t="s">
        <v>23</v>
      </c>
      <c r="I329" s="2">
        <v>1</v>
      </c>
      <c r="J329" s="2">
        <v>2000000</v>
      </c>
      <c r="K329" s="2">
        <v>2000000</v>
      </c>
      <c r="L329" s="3">
        <v>0</v>
      </c>
      <c r="M329" t="s">
        <v>19</v>
      </c>
      <c r="N329" t="s">
        <v>704</v>
      </c>
    </row>
    <row r="330" spans="1:14" x14ac:dyDescent="0.25">
      <c r="A330" t="s">
        <v>705</v>
      </c>
      <c r="B330" s="10">
        <v>46205</v>
      </c>
      <c r="C330" t="str">
        <f t="shared" si="6"/>
        <v>July</v>
      </c>
      <c r="D330" t="s">
        <v>46</v>
      </c>
      <c r="E330" t="s">
        <v>47</v>
      </c>
      <c r="F330" t="s">
        <v>48</v>
      </c>
      <c r="G330" t="s">
        <v>42</v>
      </c>
      <c r="H330" t="s">
        <v>43</v>
      </c>
      <c r="I330" s="2">
        <v>9</v>
      </c>
      <c r="J330" s="2">
        <v>750000</v>
      </c>
      <c r="K330" s="2">
        <v>6750000</v>
      </c>
      <c r="L330" s="3">
        <v>0.15</v>
      </c>
      <c r="M330" t="s">
        <v>19</v>
      </c>
      <c r="N330" t="s">
        <v>706</v>
      </c>
    </row>
    <row r="331" spans="1:14" x14ac:dyDescent="0.25">
      <c r="A331" t="s">
        <v>707</v>
      </c>
      <c r="B331" s="10">
        <v>46154</v>
      </c>
      <c r="C331" t="str">
        <f t="shared" si="6"/>
        <v>May</v>
      </c>
      <c r="D331" t="s">
        <v>39</v>
      </c>
      <c r="E331" t="s">
        <v>40</v>
      </c>
      <c r="F331" t="s">
        <v>41</v>
      </c>
      <c r="G331" t="s">
        <v>65</v>
      </c>
      <c r="H331" t="s">
        <v>66</v>
      </c>
      <c r="I331" s="2">
        <v>15</v>
      </c>
      <c r="J331" s="2">
        <v>12000000</v>
      </c>
      <c r="K331" s="2">
        <v>180000000</v>
      </c>
      <c r="L331" s="3">
        <v>0.1</v>
      </c>
      <c r="M331" t="s">
        <v>19</v>
      </c>
      <c r="N331" t="s">
        <v>708</v>
      </c>
    </row>
    <row r="332" spans="1:14" x14ac:dyDescent="0.25">
      <c r="A332" t="s">
        <v>709</v>
      </c>
      <c r="B332" s="10">
        <v>46180</v>
      </c>
      <c r="C332" t="str">
        <f t="shared" si="6"/>
        <v>June</v>
      </c>
      <c r="D332" t="s">
        <v>58</v>
      </c>
      <c r="E332" t="s">
        <v>59</v>
      </c>
      <c r="F332" t="s">
        <v>28</v>
      </c>
      <c r="G332" t="s">
        <v>22</v>
      </c>
      <c r="H332" t="s">
        <v>23</v>
      </c>
      <c r="I332" s="2">
        <v>6</v>
      </c>
      <c r="J332" s="2">
        <v>5500000</v>
      </c>
      <c r="K332" s="2">
        <v>33000000</v>
      </c>
      <c r="L332" s="3">
        <v>0.15</v>
      </c>
      <c r="M332" t="s">
        <v>51</v>
      </c>
      <c r="N332" t="s">
        <v>710</v>
      </c>
    </row>
    <row r="333" spans="1:14" x14ac:dyDescent="0.25">
      <c r="A333" t="s">
        <v>711</v>
      </c>
      <c r="B333" s="10">
        <v>46099</v>
      </c>
      <c r="C333" t="str">
        <f t="shared" si="6"/>
        <v>March</v>
      </c>
      <c r="D333" t="s">
        <v>62</v>
      </c>
      <c r="E333" t="s">
        <v>63</v>
      </c>
      <c r="F333" t="s">
        <v>64</v>
      </c>
      <c r="G333" t="s">
        <v>17</v>
      </c>
      <c r="H333" t="s">
        <v>18</v>
      </c>
      <c r="I333" s="2">
        <v>6</v>
      </c>
      <c r="J333" s="2">
        <v>4000000</v>
      </c>
      <c r="K333" s="2">
        <v>24000000</v>
      </c>
      <c r="L333" s="3">
        <v>0.1</v>
      </c>
      <c r="M333" t="s">
        <v>51</v>
      </c>
      <c r="N333" t="s">
        <v>712</v>
      </c>
    </row>
    <row r="334" spans="1:14" x14ac:dyDescent="0.25">
      <c r="A334" t="s">
        <v>713</v>
      </c>
      <c r="B334" s="10">
        <v>46129</v>
      </c>
      <c r="C334" t="str">
        <f t="shared" si="6"/>
        <v>April</v>
      </c>
      <c r="D334" t="s">
        <v>58</v>
      </c>
      <c r="E334" t="s">
        <v>59</v>
      </c>
      <c r="F334" t="s">
        <v>28</v>
      </c>
      <c r="G334" t="s">
        <v>17</v>
      </c>
      <c r="H334" t="s">
        <v>18</v>
      </c>
      <c r="I334" s="2">
        <v>10</v>
      </c>
      <c r="J334" s="2">
        <v>5500000</v>
      </c>
      <c r="K334" s="2">
        <v>55000000</v>
      </c>
      <c r="L334" s="3">
        <v>0.15</v>
      </c>
      <c r="M334" t="s">
        <v>19</v>
      </c>
      <c r="N334" t="s">
        <v>714</v>
      </c>
    </row>
    <row r="335" spans="1:14" x14ac:dyDescent="0.25">
      <c r="A335" t="s">
        <v>715</v>
      </c>
      <c r="B335" s="10">
        <v>46223</v>
      </c>
      <c r="C335" t="str">
        <f t="shared" si="6"/>
        <v>July</v>
      </c>
      <c r="D335" t="s">
        <v>26</v>
      </c>
      <c r="E335" t="s">
        <v>27</v>
      </c>
      <c r="F335" t="s">
        <v>28</v>
      </c>
      <c r="G335" t="s">
        <v>17</v>
      </c>
      <c r="H335" t="s">
        <v>18</v>
      </c>
      <c r="I335" s="2">
        <v>10</v>
      </c>
      <c r="J335" s="2">
        <v>2500000</v>
      </c>
      <c r="K335" s="2">
        <v>25000000</v>
      </c>
      <c r="L335" s="3">
        <v>0.15</v>
      </c>
      <c r="M335" t="s">
        <v>19</v>
      </c>
      <c r="N335" t="s">
        <v>716</v>
      </c>
    </row>
    <row r="336" spans="1:14" x14ac:dyDescent="0.25">
      <c r="A336" t="s">
        <v>717</v>
      </c>
      <c r="B336" s="10">
        <v>46184</v>
      </c>
      <c r="C336" t="str">
        <f t="shared" si="6"/>
        <v>June</v>
      </c>
      <c r="D336" t="s">
        <v>34</v>
      </c>
      <c r="E336" t="s">
        <v>35</v>
      </c>
      <c r="F336" t="s">
        <v>36</v>
      </c>
      <c r="G336" t="s">
        <v>29</v>
      </c>
      <c r="H336" t="s">
        <v>30</v>
      </c>
      <c r="I336" s="2">
        <v>14</v>
      </c>
      <c r="J336" s="2">
        <v>2000000</v>
      </c>
      <c r="K336" s="2">
        <v>28000000</v>
      </c>
      <c r="L336" s="3">
        <v>0.05</v>
      </c>
      <c r="M336" t="s">
        <v>19</v>
      </c>
      <c r="N336" t="s">
        <v>718</v>
      </c>
    </row>
    <row r="337" spans="1:14" x14ac:dyDescent="0.25">
      <c r="A337" t="s">
        <v>719</v>
      </c>
      <c r="B337" s="10">
        <v>46202</v>
      </c>
      <c r="C337" t="str">
        <f t="shared" si="6"/>
        <v>June</v>
      </c>
      <c r="D337" t="s">
        <v>14</v>
      </c>
      <c r="E337" t="s">
        <v>15</v>
      </c>
      <c r="F337" t="s">
        <v>16</v>
      </c>
      <c r="G337" t="s">
        <v>29</v>
      </c>
      <c r="H337" t="s">
        <v>30</v>
      </c>
      <c r="I337" s="2">
        <v>1</v>
      </c>
      <c r="J337" s="2">
        <v>3500000</v>
      </c>
      <c r="K337" s="2">
        <v>3500000</v>
      </c>
      <c r="L337" s="3">
        <v>0.15</v>
      </c>
      <c r="M337" t="s">
        <v>19</v>
      </c>
      <c r="N337" t="s">
        <v>720</v>
      </c>
    </row>
    <row r="338" spans="1:14" x14ac:dyDescent="0.25">
      <c r="A338" t="s">
        <v>721</v>
      </c>
      <c r="B338" s="10">
        <v>46061</v>
      </c>
      <c r="C338" t="str">
        <f t="shared" si="6"/>
        <v>February</v>
      </c>
      <c r="D338" t="s">
        <v>34</v>
      </c>
      <c r="E338" t="s">
        <v>35</v>
      </c>
      <c r="F338" t="s">
        <v>36</v>
      </c>
      <c r="G338" t="s">
        <v>29</v>
      </c>
      <c r="H338" t="s">
        <v>30</v>
      </c>
      <c r="I338" s="2">
        <v>7</v>
      </c>
      <c r="J338" s="2">
        <v>2000000</v>
      </c>
      <c r="K338" s="2">
        <v>14000000</v>
      </c>
      <c r="L338" s="3">
        <v>0.15</v>
      </c>
      <c r="M338" t="s">
        <v>51</v>
      </c>
      <c r="N338" t="s">
        <v>722</v>
      </c>
    </row>
    <row r="339" spans="1:14" x14ac:dyDescent="0.25">
      <c r="A339" t="s">
        <v>723</v>
      </c>
      <c r="B339" s="10">
        <v>46038</v>
      </c>
      <c r="C339" t="str">
        <f t="shared" si="6"/>
        <v>January</v>
      </c>
      <c r="D339" t="s">
        <v>39</v>
      </c>
      <c r="E339" t="s">
        <v>40</v>
      </c>
      <c r="F339" t="s">
        <v>41</v>
      </c>
      <c r="G339" t="s">
        <v>22</v>
      </c>
      <c r="H339" t="s">
        <v>23</v>
      </c>
      <c r="I339" s="2">
        <v>4</v>
      </c>
      <c r="J339" s="2">
        <v>12000000</v>
      </c>
      <c r="K339" s="2">
        <v>48000000</v>
      </c>
      <c r="L339" s="3">
        <v>0.1</v>
      </c>
      <c r="M339" t="s">
        <v>51</v>
      </c>
      <c r="N339" t="s">
        <v>724</v>
      </c>
    </row>
    <row r="340" spans="1:14" x14ac:dyDescent="0.25">
      <c r="A340" t="s">
        <v>725</v>
      </c>
      <c r="B340" s="10">
        <v>46157</v>
      </c>
      <c r="C340" t="str">
        <f t="shared" si="6"/>
        <v>May</v>
      </c>
      <c r="D340" t="s">
        <v>34</v>
      </c>
      <c r="E340" t="s">
        <v>35</v>
      </c>
      <c r="F340" t="s">
        <v>36</v>
      </c>
      <c r="G340" t="s">
        <v>65</v>
      </c>
      <c r="H340" t="s">
        <v>66</v>
      </c>
      <c r="I340" s="2">
        <v>3</v>
      </c>
      <c r="J340" s="2">
        <v>2000000</v>
      </c>
      <c r="K340" s="2">
        <v>6000000</v>
      </c>
      <c r="L340" s="3">
        <v>0.15</v>
      </c>
      <c r="M340" t="s">
        <v>31</v>
      </c>
      <c r="N340" t="s">
        <v>726</v>
      </c>
    </row>
    <row r="341" spans="1:14" x14ac:dyDescent="0.25">
      <c r="A341" t="s">
        <v>727</v>
      </c>
      <c r="B341" s="10">
        <v>46162</v>
      </c>
      <c r="C341" t="str">
        <f t="shared" si="6"/>
        <v>May</v>
      </c>
      <c r="D341" t="s">
        <v>46</v>
      </c>
      <c r="E341" t="s">
        <v>47</v>
      </c>
      <c r="F341" t="s">
        <v>48</v>
      </c>
      <c r="G341" t="s">
        <v>65</v>
      </c>
      <c r="H341" t="s">
        <v>66</v>
      </c>
      <c r="I341" s="2">
        <v>10</v>
      </c>
      <c r="J341" s="2">
        <v>750000</v>
      </c>
      <c r="K341" s="2">
        <v>7500000</v>
      </c>
      <c r="L341" s="3">
        <v>0.15</v>
      </c>
      <c r="M341" t="s">
        <v>19</v>
      </c>
      <c r="N341" t="s">
        <v>728</v>
      </c>
    </row>
    <row r="342" spans="1:14" x14ac:dyDescent="0.25">
      <c r="A342" t="s">
        <v>729</v>
      </c>
      <c r="B342" s="10">
        <v>46094</v>
      </c>
      <c r="C342" t="str">
        <f t="shared" si="6"/>
        <v>March</v>
      </c>
      <c r="D342" t="s">
        <v>58</v>
      </c>
      <c r="E342" t="s">
        <v>59</v>
      </c>
      <c r="F342" t="s">
        <v>28</v>
      </c>
      <c r="G342" t="s">
        <v>29</v>
      </c>
      <c r="H342" t="s">
        <v>30</v>
      </c>
      <c r="I342" s="2">
        <v>5</v>
      </c>
      <c r="J342" s="2">
        <v>5500000</v>
      </c>
      <c r="K342" s="2">
        <v>27500000</v>
      </c>
      <c r="L342" s="3">
        <v>0.1</v>
      </c>
      <c r="M342" t="s">
        <v>51</v>
      </c>
      <c r="N342" t="s">
        <v>730</v>
      </c>
    </row>
    <row r="343" spans="1:14" x14ac:dyDescent="0.25">
      <c r="A343" t="s">
        <v>731</v>
      </c>
      <c r="B343" s="10">
        <v>46199</v>
      </c>
      <c r="C343" t="str">
        <f t="shared" si="6"/>
        <v>June</v>
      </c>
      <c r="D343" t="s">
        <v>62</v>
      </c>
      <c r="E343" t="s">
        <v>63</v>
      </c>
      <c r="F343" t="s">
        <v>64</v>
      </c>
      <c r="G343" t="s">
        <v>65</v>
      </c>
      <c r="H343" t="s">
        <v>66</v>
      </c>
      <c r="I343" s="2">
        <v>8</v>
      </c>
      <c r="J343" s="2">
        <v>4000000</v>
      </c>
      <c r="K343" s="2">
        <v>32000000</v>
      </c>
      <c r="L343" s="3">
        <v>0.1</v>
      </c>
      <c r="M343" t="s">
        <v>31</v>
      </c>
      <c r="N343" t="s">
        <v>732</v>
      </c>
    </row>
    <row r="344" spans="1:14" x14ac:dyDescent="0.25">
      <c r="A344" t="s">
        <v>733</v>
      </c>
      <c r="B344" s="10">
        <v>46207</v>
      </c>
      <c r="C344" t="str">
        <f t="shared" si="6"/>
        <v>July</v>
      </c>
      <c r="D344" t="s">
        <v>58</v>
      </c>
      <c r="E344" t="s">
        <v>59</v>
      </c>
      <c r="F344" t="s">
        <v>28</v>
      </c>
      <c r="G344" t="s">
        <v>65</v>
      </c>
      <c r="H344" t="s">
        <v>66</v>
      </c>
      <c r="I344" s="2">
        <v>2</v>
      </c>
      <c r="J344" s="2">
        <v>5500000</v>
      </c>
      <c r="K344" s="2">
        <v>11000000</v>
      </c>
      <c r="L344" s="3">
        <v>0.15</v>
      </c>
      <c r="M344" t="s">
        <v>77</v>
      </c>
      <c r="N344" t="s">
        <v>734</v>
      </c>
    </row>
    <row r="345" spans="1:14" x14ac:dyDescent="0.25">
      <c r="A345" t="s">
        <v>735</v>
      </c>
      <c r="B345" s="10">
        <v>46111</v>
      </c>
      <c r="C345" t="str">
        <f t="shared" si="6"/>
        <v>March</v>
      </c>
      <c r="D345" t="s">
        <v>39</v>
      </c>
      <c r="E345" t="s">
        <v>40</v>
      </c>
      <c r="F345" t="s">
        <v>41</v>
      </c>
      <c r="G345" t="s">
        <v>65</v>
      </c>
      <c r="H345" t="s">
        <v>66</v>
      </c>
      <c r="I345" s="2">
        <v>1</v>
      </c>
      <c r="J345" s="2">
        <v>12000000</v>
      </c>
      <c r="K345" s="2">
        <v>12000000</v>
      </c>
      <c r="L345" s="3">
        <v>0.1</v>
      </c>
      <c r="M345" t="s">
        <v>51</v>
      </c>
      <c r="N345" t="s">
        <v>736</v>
      </c>
    </row>
    <row r="346" spans="1:14" x14ac:dyDescent="0.25">
      <c r="A346" t="s">
        <v>737</v>
      </c>
      <c r="B346" s="10">
        <v>46111</v>
      </c>
      <c r="C346" t="str">
        <f t="shared" si="6"/>
        <v>March</v>
      </c>
      <c r="D346" t="s">
        <v>62</v>
      </c>
      <c r="E346" t="s">
        <v>63</v>
      </c>
      <c r="F346" t="s">
        <v>64</v>
      </c>
      <c r="G346" t="s">
        <v>65</v>
      </c>
      <c r="H346" t="s">
        <v>66</v>
      </c>
      <c r="I346" s="2">
        <v>12</v>
      </c>
      <c r="J346" s="2">
        <v>4000000</v>
      </c>
      <c r="K346" s="2">
        <v>48000000</v>
      </c>
      <c r="L346" s="3">
        <v>0.15</v>
      </c>
      <c r="M346" t="s">
        <v>19</v>
      </c>
      <c r="N346" t="s">
        <v>738</v>
      </c>
    </row>
    <row r="347" spans="1:14" x14ac:dyDescent="0.25">
      <c r="A347" t="s">
        <v>739</v>
      </c>
      <c r="B347" s="10">
        <v>46234</v>
      </c>
      <c r="C347" t="str">
        <f t="shared" si="6"/>
        <v>July</v>
      </c>
      <c r="D347" t="s">
        <v>58</v>
      </c>
      <c r="E347" t="s">
        <v>59</v>
      </c>
      <c r="F347" t="s">
        <v>28</v>
      </c>
      <c r="G347" t="s">
        <v>22</v>
      </c>
      <c r="H347" t="s">
        <v>23</v>
      </c>
      <c r="I347" s="2">
        <v>12</v>
      </c>
      <c r="J347" s="2">
        <v>5500000</v>
      </c>
      <c r="K347" s="2">
        <v>66000000</v>
      </c>
      <c r="L347" s="3">
        <v>0.1</v>
      </c>
      <c r="M347" t="s">
        <v>19</v>
      </c>
      <c r="N347" t="s">
        <v>740</v>
      </c>
    </row>
    <row r="348" spans="1:14" x14ac:dyDescent="0.25">
      <c r="A348" t="s">
        <v>741</v>
      </c>
      <c r="B348" s="10">
        <v>46180</v>
      </c>
      <c r="C348" t="str">
        <f t="shared" si="6"/>
        <v>June</v>
      </c>
      <c r="D348" t="s">
        <v>26</v>
      </c>
      <c r="E348" t="s">
        <v>27</v>
      </c>
      <c r="F348" t="s">
        <v>28</v>
      </c>
      <c r="G348" t="s">
        <v>29</v>
      </c>
      <c r="H348" t="s">
        <v>30</v>
      </c>
      <c r="I348" s="2">
        <v>1</v>
      </c>
      <c r="J348" s="2">
        <v>2500000</v>
      </c>
      <c r="K348" s="2">
        <v>2500000</v>
      </c>
      <c r="L348" s="3">
        <v>0.05</v>
      </c>
      <c r="M348" t="s">
        <v>51</v>
      </c>
      <c r="N348" t="s">
        <v>742</v>
      </c>
    </row>
    <row r="349" spans="1:14" x14ac:dyDescent="0.25">
      <c r="A349" t="s">
        <v>743</v>
      </c>
      <c r="B349" s="10">
        <v>46036</v>
      </c>
      <c r="C349" t="str">
        <f t="shared" si="6"/>
        <v>January</v>
      </c>
      <c r="D349" t="s">
        <v>14</v>
      </c>
      <c r="E349" t="s">
        <v>15</v>
      </c>
      <c r="F349" t="s">
        <v>16</v>
      </c>
      <c r="G349" t="s">
        <v>42</v>
      </c>
      <c r="H349" t="s">
        <v>43</v>
      </c>
      <c r="I349" s="2">
        <v>6</v>
      </c>
      <c r="J349" s="2">
        <v>3500000</v>
      </c>
      <c r="K349" s="2">
        <v>21000000</v>
      </c>
      <c r="L349" s="3">
        <v>0.15</v>
      </c>
      <c r="M349" t="s">
        <v>19</v>
      </c>
      <c r="N349" t="s">
        <v>744</v>
      </c>
    </row>
    <row r="350" spans="1:14" x14ac:dyDescent="0.25">
      <c r="A350" t="s">
        <v>745</v>
      </c>
      <c r="B350" s="10">
        <v>46220</v>
      </c>
      <c r="C350" t="str">
        <f t="shared" si="6"/>
        <v>July</v>
      </c>
      <c r="D350" t="s">
        <v>39</v>
      </c>
      <c r="E350" t="s">
        <v>40</v>
      </c>
      <c r="F350" t="s">
        <v>41</v>
      </c>
      <c r="G350" t="s">
        <v>17</v>
      </c>
      <c r="H350" t="s">
        <v>18</v>
      </c>
      <c r="I350" s="2">
        <v>9</v>
      </c>
      <c r="J350" s="2">
        <v>12000000</v>
      </c>
      <c r="K350" s="2">
        <v>108000000</v>
      </c>
      <c r="L350" s="3">
        <v>0.05</v>
      </c>
      <c r="M350" t="s">
        <v>77</v>
      </c>
      <c r="N350" t="s">
        <v>746</v>
      </c>
    </row>
    <row r="351" spans="1:14" x14ac:dyDescent="0.25">
      <c r="A351" t="s">
        <v>747</v>
      </c>
      <c r="B351" s="10">
        <v>46144</v>
      </c>
      <c r="C351" t="str">
        <f t="shared" si="6"/>
        <v>May</v>
      </c>
      <c r="D351" t="s">
        <v>62</v>
      </c>
      <c r="E351" t="s">
        <v>63</v>
      </c>
      <c r="F351" t="s">
        <v>64</v>
      </c>
      <c r="G351" t="s">
        <v>29</v>
      </c>
      <c r="H351" t="s">
        <v>30</v>
      </c>
      <c r="I351" s="2">
        <v>13</v>
      </c>
      <c r="J351" s="2">
        <v>4000000</v>
      </c>
      <c r="K351" s="2">
        <v>52000000</v>
      </c>
      <c r="L351" s="3">
        <v>0.1</v>
      </c>
      <c r="M351" t="s">
        <v>19</v>
      </c>
      <c r="N351" t="s">
        <v>748</v>
      </c>
    </row>
    <row r="352" spans="1:14" x14ac:dyDescent="0.25">
      <c r="A352" t="s">
        <v>749</v>
      </c>
      <c r="B352" s="10">
        <v>46188</v>
      </c>
      <c r="C352" t="str">
        <f t="shared" si="6"/>
        <v>June</v>
      </c>
      <c r="D352" t="s">
        <v>92</v>
      </c>
      <c r="E352" t="s">
        <v>93</v>
      </c>
      <c r="F352" t="s">
        <v>16</v>
      </c>
      <c r="G352" t="s">
        <v>17</v>
      </c>
      <c r="H352" t="s">
        <v>18</v>
      </c>
      <c r="I352" s="2">
        <v>11</v>
      </c>
      <c r="J352" s="2">
        <v>1500000</v>
      </c>
      <c r="K352" s="2">
        <v>16500000</v>
      </c>
      <c r="L352" s="3">
        <v>0.05</v>
      </c>
      <c r="M352" t="s">
        <v>31</v>
      </c>
      <c r="N352" t="s">
        <v>750</v>
      </c>
    </row>
    <row r="353" spans="1:14" x14ac:dyDescent="0.25">
      <c r="A353" t="s">
        <v>751</v>
      </c>
      <c r="B353" s="10">
        <v>46208</v>
      </c>
      <c r="C353" t="str">
        <f t="shared" si="6"/>
        <v>July</v>
      </c>
      <c r="D353" t="s">
        <v>92</v>
      </c>
      <c r="E353" t="s">
        <v>93</v>
      </c>
      <c r="F353" t="s">
        <v>16</v>
      </c>
      <c r="G353" t="s">
        <v>29</v>
      </c>
      <c r="H353" t="s">
        <v>30</v>
      </c>
      <c r="I353" s="2">
        <v>7</v>
      </c>
      <c r="J353" s="2">
        <v>1500000</v>
      </c>
      <c r="K353" s="2">
        <v>10500000</v>
      </c>
      <c r="L353" s="3">
        <v>0.05</v>
      </c>
      <c r="M353" t="s">
        <v>19</v>
      </c>
      <c r="N353" t="s">
        <v>752</v>
      </c>
    </row>
    <row r="354" spans="1:14" x14ac:dyDescent="0.25">
      <c r="A354" t="s">
        <v>753</v>
      </c>
      <c r="B354" s="10">
        <v>46124</v>
      </c>
      <c r="C354" t="str">
        <f t="shared" si="6"/>
        <v>April</v>
      </c>
      <c r="D354" t="s">
        <v>62</v>
      </c>
      <c r="E354" t="s">
        <v>63</v>
      </c>
      <c r="F354" t="s">
        <v>64</v>
      </c>
      <c r="G354" t="s">
        <v>29</v>
      </c>
      <c r="H354" t="s">
        <v>30</v>
      </c>
      <c r="I354" s="2">
        <v>15</v>
      </c>
      <c r="J354" s="2">
        <v>4000000</v>
      </c>
      <c r="K354" s="2">
        <v>60000000</v>
      </c>
      <c r="L354" s="3">
        <v>0.1</v>
      </c>
      <c r="M354" t="s">
        <v>19</v>
      </c>
      <c r="N354" t="s">
        <v>754</v>
      </c>
    </row>
    <row r="355" spans="1:14" x14ac:dyDescent="0.25">
      <c r="A355" t="s">
        <v>755</v>
      </c>
      <c r="B355" s="10">
        <v>46099</v>
      </c>
      <c r="C355" t="str">
        <f t="shared" si="6"/>
        <v>March</v>
      </c>
      <c r="D355" t="s">
        <v>14</v>
      </c>
      <c r="E355" t="s">
        <v>15</v>
      </c>
      <c r="F355" t="s">
        <v>16</v>
      </c>
      <c r="G355" t="s">
        <v>65</v>
      </c>
      <c r="H355" t="s">
        <v>66</v>
      </c>
      <c r="I355" s="2">
        <v>5</v>
      </c>
      <c r="J355" s="2">
        <v>3500000</v>
      </c>
      <c r="K355" s="2">
        <v>17500000</v>
      </c>
      <c r="L355" s="3">
        <v>0.15</v>
      </c>
      <c r="M355" t="s">
        <v>51</v>
      </c>
      <c r="N355" t="s">
        <v>756</v>
      </c>
    </row>
    <row r="356" spans="1:14" x14ac:dyDescent="0.25">
      <c r="A356" t="s">
        <v>757</v>
      </c>
      <c r="B356" s="10">
        <v>46157</v>
      </c>
      <c r="C356" t="str">
        <f t="shared" si="6"/>
        <v>May</v>
      </c>
      <c r="D356" t="s">
        <v>62</v>
      </c>
      <c r="E356" t="s">
        <v>63</v>
      </c>
      <c r="F356" t="s">
        <v>64</v>
      </c>
      <c r="G356" t="s">
        <v>29</v>
      </c>
      <c r="H356" t="s">
        <v>30</v>
      </c>
      <c r="I356" s="2">
        <v>14</v>
      </c>
      <c r="J356" s="2">
        <v>4000000</v>
      </c>
      <c r="K356" s="2">
        <v>56000000</v>
      </c>
      <c r="L356" s="3">
        <v>0.15</v>
      </c>
      <c r="M356" t="s">
        <v>19</v>
      </c>
      <c r="N356" t="s">
        <v>758</v>
      </c>
    </row>
    <row r="357" spans="1:14" x14ac:dyDescent="0.25">
      <c r="A357" t="s">
        <v>759</v>
      </c>
      <c r="B357" s="10">
        <v>46230</v>
      </c>
      <c r="C357" t="str">
        <f t="shared" si="6"/>
        <v>July</v>
      </c>
      <c r="D357" t="s">
        <v>14</v>
      </c>
      <c r="E357" t="s">
        <v>15</v>
      </c>
      <c r="F357" t="s">
        <v>16</v>
      </c>
      <c r="G357" t="s">
        <v>65</v>
      </c>
      <c r="H357" t="s">
        <v>66</v>
      </c>
      <c r="I357" s="2">
        <v>3</v>
      </c>
      <c r="J357" s="2">
        <v>3500000</v>
      </c>
      <c r="K357" s="2">
        <v>10500000</v>
      </c>
      <c r="L357" s="3">
        <v>0.15</v>
      </c>
      <c r="M357" t="s">
        <v>51</v>
      </c>
      <c r="N357" t="s">
        <v>760</v>
      </c>
    </row>
    <row r="358" spans="1:14" x14ac:dyDescent="0.25">
      <c r="A358" t="s">
        <v>761</v>
      </c>
      <c r="B358" s="10">
        <v>46206</v>
      </c>
      <c r="C358" t="str">
        <f t="shared" si="6"/>
        <v>July</v>
      </c>
      <c r="D358" t="s">
        <v>39</v>
      </c>
      <c r="E358" t="s">
        <v>40</v>
      </c>
      <c r="F358" t="s">
        <v>41</v>
      </c>
      <c r="G358" t="s">
        <v>17</v>
      </c>
      <c r="H358" t="s">
        <v>18</v>
      </c>
      <c r="I358" s="2">
        <v>12</v>
      </c>
      <c r="J358" s="2">
        <v>12000000</v>
      </c>
      <c r="K358" s="2">
        <v>144000000</v>
      </c>
      <c r="L358" s="3">
        <v>0.1</v>
      </c>
      <c r="M358" t="s">
        <v>19</v>
      </c>
      <c r="N358" t="s">
        <v>762</v>
      </c>
    </row>
    <row r="359" spans="1:14" x14ac:dyDescent="0.25">
      <c r="A359" t="s">
        <v>763</v>
      </c>
      <c r="B359" s="10">
        <v>46195</v>
      </c>
      <c r="C359" t="str">
        <f t="shared" si="6"/>
        <v>June</v>
      </c>
      <c r="D359" t="s">
        <v>26</v>
      </c>
      <c r="E359" t="s">
        <v>27</v>
      </c>
      <c r="F359" t="s">
        <v>28</v>
      </c>
      <c r="G359" t="s">
        <v>29</v>
      </c>
      <c r="H359" t="s">
        <v>30</v>
      </c>
      <c r="I359" s="2">
        <v>10</v>
      </c>
      <c r="J359" s="2">
        <v>2500000</v>
      </c>
      <c r="K359" s="2">
        <v>25000000</v>
      </c>
      <c r="L359" s="3">
        <v>0.15</v>
      </c>
      <c r="M359" t="s">
        <v>77</v>
      </c>
      <c r="N359" t="s">
        <v>764</v>
      </c>
    </row>
    <row r="360" spans="1:14" x14ac:dyDescent="0.25">
      <c r="A360" t="s">
        <v>765</v>
      </c>
      <c r="B360" s="10">
        <v>46106</v>
      </c>
      <c r="C360" t="str">
        <f t="shared" si="6"/>
        <v>March</v>
      </c>
      <c r="D360" t="s">
        <v>14</v>
      </c>
      <c r="E360" t="s">
        <v>15</v>
      </c>
      <c r="F360" t="s">
        <v>16</v>
      </c>
      <c r="G360" t="s">
        <v>42</v>
      </c>
      <c r="H360" t="s">
        <v>43</v>
      </c>
      <c r="I360" s="2">
        <v>11</v>
      </c>
      <c r="J360" s="2">
        <v>3500000</v>
      </c>
      <c r="K360" s="2">
        <v>38500000</v>
      </c>
      <c r="L360" s="3">
        <v>0</v>
      </c>
      <c r="M360" t="s">
        <v>19</v>
      </c>
      <c r="N360" t="s">
        <v>766</v>
      </c>
    </row>
    <row r="361" spans="1:14" x14ac:dyDescent="0.25">
      <c r="A361" t="s">
        <v>767</v>
      </c>
      <c r="B361" s="10">
        <v>46145</v>
      </c>
      <c r="C361" t="str">
        <f t="shared" si="6"/>
        <v>May</v>
      </c>
      <c r="D361" t="s">
        <v>46</v>
      </c>
      <c r="E361" t="s">
        <v>47</v>
      </c>
      <c r="F361" t="s">
        <v>48</v>
      </c>
      <c r="G361" t="s">
        <v>29</v>
      </c>
      <c r="H361" t="s">
        <v>30</v>
      </c>
      <c r="I361" s="2">
        <v>1</v>
      </c>
      <c r="J361" s="2">
        <v>750000</v>
      </c>
      <c r="K361" s="2">
        <v>750000</v>
      </c>
      <c r="L361" s="3">
        <v>0.1</v>
      </c>
      <c r="M361" t="s">
        <v>77</v>
      </c>
      <c r="N361" t="s">
        <v>768</v>
      </c>
    </row>
    <row r="362" spans="1:14" x14ac:dyDescent="0.25">
      <c r="A362" t="s">
        <v>769</v>
      </c>
      <c r="B362" s="10">
        <v>46137</v>
      </c>
      <c r="C362" t="str">
        <f t="shared" si="6"/>
        <v>April</v>
      </c>
      <c r="D362" t="s">
        <v>58</v>
      </c>
      <c r="E362" t="s">
        <v>59</v>
      </c>
      <c r="F362" t="s">
        <v>28</v>
      </c>
      <c r="G362" t="s">
        <v>65</v>
      </c>
      <c r="H362" t="s">
        <v>66</v>
      </c>
      <c r="I362" s="2">
        <v>5</v>
      </c>
      <c r="J362" s="2">
        <v>5500000</v>
      </c>
      <c r="K362" s="2">
        <v>27500000</v>
      </c>
      <c r="L362" s="3">
        <v>0</v>
      </c>
      <c r="M362" t="s">
        <v>19</v>
      </c>
      <c r="N362" t="s">
        <v>770</v>
      </c>
    </row>
    <row r="363" spans="1:14" x14ac:dyDescent="0.25">
      <c r="A363" t="s">
        <v>771</v>
      </c>
      <c r="B363" s="10">
        <v>46115</v>
      </c>
      <c r="C363" t="str">
        <f t="shared" si="6"/>
        <v>April</v>
      </c>
      <c r="D363" t="s">
        <v>26</v>
      </c>
      <c r="E363" t="s">
        <v>27</v>
      </c>
      <c r="F363" t="s">
        <v>28</v>
      </c>
      <c r="G363" t="s">
        <v>17</v>
      </c>
      <c r="H363" t="s">
        <v>18</v>
      </c>
      <c r="I363" s="2">
        <v>11</v>
      </c>
      <c r="J363" s="2">
        <v>2500000</v>
      </c>
      <c r="K363" s="2">
        <v>27500000</v>
      </c>
      <c r="L363" s="3">
        <v>0</v>
      </c>
      <c r="M363" t="s">
        <v>77</v>
      </c>
      <c r="N363" t="s">
        <v>772</v>
      </c>
    </row>
    <row r="364" spans="1:14" x14ac:dyDescent="0.25">
      <c r="A364" t="s">
        <v>773</v>
      </c>
      <c r="B364" s="10">
        <v>46063</v>
      </c>
      <c r="C364" t="str">
        <f t="shared" si="6"/>
        <v>February</v>
      </c>
      <c r="D364" t="s">
        <v>34</v>
      </c>
      <c r="E364" t="s">
        <v>35</v>
      </c>
      <c r="F364" t="s">
        <v>36</v>
      </c>
      <c r="G364" t="s">
        <v>22</v>
      </c>
      <c r="H364" t="s">
        <v>23</v>
      </c>
      <c r="I364" s="2">
        <v>15</v>
      </c>
      <c r="J364" s="2">
        <v>2000000</v>
      </c>
      <c r="K364" s="2">
        <v>30000000</v>
      </c>
      <c r="L364" s="3">
        <v>0.1</v>
      </c>
      <c r="M364" t="s">
        <v>51</v>
      </c>
      <c r="N364" t="s">
        <v>774</v>
      </c>
    </row>
    <row r="365" spans="1:14" x14ac:dyDescent="0.25">
      <c r="A365" t="s">
        <v>775</v>
      </c>
      <c r="B365" s="10">
        <v>46186</v>
      </c>
      <c r="C365" t="str">
        <f t="shared" si="6"/>
        <v>June</v>
      </c>
      <c r="D365" t="s">
        <v>58</v>
      </c>
      <c r="E365" t="s">
        <v>59</v>
      </c>
      <c r="F365" t="s">
        <v>28</v>
      </c>
      <c r="G365" t="s">
        <v>65</v>
      </c>
      <c r="H365" t="s">
        <v>66</v>
      </c>
      <c r="I365" s="2">
        <v>10</v>
      </c>
      <c r="J365" s="2">
        <v>5500000</v>
      </c>
      <c r="K365" s="2">
        <v>55000000</v>
      </c>
      <c r="L365" s="3">
        <v>0.05</v>
      </c>
      <c r="M365" t="s">
        <v>19</v>
      </c>
      <c r="N365" t="s">
        <v>776</v>
      </c>
    </row>
    <row r="366" spans="1:14" x14ac:dyDescent="0.25">
      <c r="A366" t="s">
        <v>777</v>
      </c>
      <c r="B366" s="10">
        <v>46145</v>
      </c>
      <c r="C366" t="str">
        <f t="shared" si="6"/>
        <v>May</v>
      </c>
      <c r="D366" t="s">
        <v>39</v>
      </c>
      <c r="E366" t="s">
        <v>40</v>
      </c>
      <c r="F366" t="s">
        <v>41</v>
      </c>
      <c r="G366" t="s">
        <v>42</v>
      </c>
      <c r="H366" t="s">
        <v>43</v>
      </c>
      <c r="I366" s="2">
        <v>12</v>
      </c>
      <c r="J366" s="2">
        <v>12000000</v>
      </c>
      <c r="K366" s="2">
        <v>144000000</v>
      </c>
      <c r="L366" s="3">
        <v>0.1</v>
      </c>
      <c r="M366" t="s">
        <v>77</v>
      </c>
      <c r="N366" t="s">
        <v>778</v>
      </c>
    </row>
    <row r="367" spans="1:14" x14ac:dyDescent="0.25">
      <c r="A367" t="s">
        <v>779</v>
      </c>
      <c r="B367" s="10">
        <v>46163</v>
      </c>
      <c r="C367" t="str">
        <f t="shared" si="6"/>
        <v>May</v>
      </c>
      <c r="D367" t="s">
        <v>62</v>
      </c>
      <c r="E367" t="s">
        <v>63</v>
      </c>
      <c r="F367" t="s">
        <v>64</v>
      </c>
      <c r="G367" t="s">
        <v>22</v>
      </c>
      <c r="H367" t="s">
        <v>23</v>
      </c>
      <c r="I367" s="2">
        <v>13</v>
      </c>
      <c r="J367" s="2">
        <v>4000000</v>
      </c>
      <c r="K367" s="2">
        <v>52000000</v>
      </c>
      <c r="L367" s="3">
        <v>0.05</v>
      </c>
      <c r="M367" t="s">
        <v>19</v>
      </c>
      <c r="N367" t="s">
        <v>780</v>
      </c>
    </row>
    <row r="368" spans="1:14" x14ac:dyDescent="0.25">
      <c r="A368" t="s">
        <v>781</v>
      </c>
      <c r="B368" s="10">
        <v>46216</v>
      </c>
      <c r="C368" t="str">
        <f t="shared" si="6"/>
        <v>July</v>
      </c>
      <c r="D368" t="s">
        <v>14</v>
      </c>
      <c r="E368" t="s">
        <v>15</v>
      </c>
      <c r="F368" t="s">
        <v>16</v>
      </c>
      <c r="G368" t="s">
        <v>22</v>
      </c>
      <c r="H368" t="s">
        <v>23</v>
      </c>
      <c r="I368" s="2">
        <v>8</v>
      </c>
      <c r="J368" s="2">
        <v>3500000</v>
      </c>
      <c r="K368" s="2">
        <v>28000000</v>
      </c>
      <c r="L368" s="3">
        <v>0.1</v>
      </c>
      <c r="M368" t="s">
        <v>19</v>
      </c>
      <c r="N368" t="s">
        <v>782</v>
      </c>
    </row>
    <row r="369" spans="1:14" x14ac:dyDescent="0.25">
      <c r="A369" t="s">
        <v>783</v>
      </c>
      <c r="B369" s="10">
        <v>46051</v>
      </c>
      <c r="C369" t="str">
        <f t="shared" si="6"/>
        <v>January</v>
      </c>
      <c r="D369" t="s">
        <v>92</v>
      </c>
      <c r="E369" t="s">
        <v>93</v>
      </c>
      <c r="F369" t="s">
        <v>16</v>
      </c>
      <c r="G369" t="s">
        <v>22</v>
      </c>
      <c r="H369" t="s">
        <v>23</v>
      </c>
      <c r="I369" s="2">
        <v>15</v>
      </c>
      <c r="J369" s="2">
        <v>1500000</v>
      </c>
      <c r="K369" s="2">
        <v>22500000</v>
      </c>
      <c r="L369" s="3">
        <v>0.05</v>
      </c>
      <c r="M369" t="s">
        <v>31</v>
      </c>
      <c r="N369" t="s">
        <v>784</v>
      </c>
    </row>
    <row r="370" spans="1:14" x14ac:dyDescent="0.25">
      <c r="A370" t="s">
        <v>785</v>
      </c>
      <c r="B370" s="10">
        <v>46061</v>
      </c>
      <c r="C370" t="str">
        <f t="shared" si="6"/>
        <v>February</v>
      </c>
      <c r="D370" t="s">
        <v>39</v>
      </c>
      <c r="E370" t="s">
        <v>40</v>
      </c>
      <c r="F370" t="s">
        <v>41</v>
      </c>
      <c r="G370" t="s">
        <v>65</v>
      </c>
      <c r="H370" t="s">
        <v>66</v>
      </c>
      <c r="I370" s="2">
        <v>14</v>
      </c>
      <c r="J370" s="2">
        <v>12000000</v>
      </c>
      <c r="K370" s="2">
        <v>168000000</v>
      </c>
      <c r="L370" s="3">
        <v>0.15</v>
      </c>
      <c r="M370" t="s">
        <v>19</v>
      </c>
      <c r="N370" t="s">
        <v>786</v>
      </c>
    </row>
    <row r="371" spans="1:14" x14ac:dyDescent="0.25">
      <c r="A371" t="s">
        <v>787</v>
      </c>
      <c r="B371" s="10">
        <v>46075</v>
      </c>
      <c r="C371" t="str">
        <f t="shared" si="6"/>
        <v>February</v>
      </c>
      <c r="D371" t="s">
        <v>62</v>
      </c>
      <c r="E371" t="s">
        <v>63</v>
      </c>
      <c r="F371" t="s">
        <v>64</v>
      </c>
      <c r="G371" t="s">
        <v>17</v>
      </c>
      <c r="H371" t="s">
        <v>18</v>
      </c>
      <c r="I371" s="2">
        <v>15</v>
      </c>
      <c r="J371" s="2">
        <v>4000000</v>
      </c>
      <c r="K371" s="2">
        <v>60000000</v>
      </c>
      <c r="L371" s="3">
        <v>0.15</v>
      </c>
      <c r="M371" t="s">
        <v>19</v>
      </c>
      <c r="N371" t="s">
        <v>788</v>
      </c>
    </row>
    <row r="372" spans="1:14" x14ac:dyDescent="0.25">
      <c r="A372" t="s">
        <v>789</v>
      </c>
      <c r="B372" s="10">
        <v>46056</v>
      </c>
      <c r="C372" t="str">
        <f t="shared" si="6"/>
        <v>February</v>
      </c>
      <c r="D372" t="s">
        <v>34</v>
      </c>
      <c r="E372" t="s">
        <v>35</v>
      </c>
      <c r="F372" t="s">
        <v>36</v>
      </c>
      <c r="G372" t="s">
        <v>42</v>
      </c>
      <c r="H372" t="s">
        <v>43</v>
      </c>
      <c r="I372" s="2">
        <v>10</v>
      </c>
      <c r="J372" s="2">
        <v>2000000</v>
      </c>
      <c r="K372" s="2">
        <v>20000000</v>
      </c>
      <c r="L372" s="3">
        <v>0</v>
      </c>
      <c r="M372" t="s">
        <v>31</v>
      </c>
      <c r="N372" t="s">
        <v>790</v>
      </c>
    </row>
    <row r="373" spans="1:14" x14ac:dyDescent="0.25">
      <c r="A373" t="s">
        <v>791</v>
      </c>
      <c r="B373" s="10">
        <v>46195</v>
      </c>
      <c r="C373" t="str">
        <f t="shared" si="6"/>
        <v>June</v>
      </c>
      <c r="D373" t="s">
        <v>58</v>
      </c>
      <c r="E373" t="s">
        <v>59</v>
      </c>
      <c r="F373" t="s">
        <v>28</v>
      </c>
      <c r="G373" t="s">
        <v>17</v>
      </c>
      <c r="H373" t="s">
        <v>18</v>
      </c>
      <c r="I373" s="2">
        <v>7</v>
      </c>
      <c r="J373" s="2">
        <v>5500000</v>
      </c>
      <c r="K373" s="2">
        <v>38500000</v>
      </c>
      <c r="L373" s="3">
        <v>0.1</v>
      </c>
      <c r="M373" t="s">
        <v>19</v>
      </c>
      <c r="N373" t="s">
        <v>792</v>
      </c>
    </row>
    <row r="374" spans="1:14" x14ac:dyDescent="0.25">
      <c r="A374" t="s">
        <v>793</v>
      </c>
      <c r="B374" s="10">
        <v>46078</v>
      </c>
      <c r="C374" t="str">
        <f t="shared" si="6"/>
        <v>February</v>
      </c>
      <c r="D374" t="s">
        <v>14</v>
      </c>
      <c r="E374" t="s">
        <v>15</v>
      </c>
      <c r="F374" t="s">
        <v>16</v>
      </c>
      <c r="G374" t="s">
        <v>17</v>
      </c>
      <c r="H374" t="s">
        <v>18</v>
      </c>
      <c r="I374" s="2">
        <v>7</v>
      </c>
      <c r="J374" s="2">
        <v>3500000</v>
      </c>
      <c r="K374" s="2">
        <v>24500000</v>
      </c>
      <c r="L374" s="3">
        <v>0.1</v>
      </c>
      <c r="M374" t="s">
        <v>51</v>
      </c>
      <c r="N374" t="s">
        <v>794</v>
      </c>
    </row>
    <row r="375" spans="1:14" x14ac:dyDescent="0.25">
      <c r="A375" t="s">
        <v>795</v>
      </c>
      <c r="B375" s="10">
        <v>46161</v>
      </c>
      <c r="C375" t="str">
        <f t="shared" si="6"/>
        <v>May</v>
      </c>
      <c r="D375" t="s">
        <v>92</v>
      </c>
      <c r="E375" t="s">
        <v>93</v>
      </c>
      <c r="F375" t="s">
        <v>16</v>
      </c>
      <c r="G375" t="s">
        <v>17</v>
      </c>
      <c r="H375" t="s">
        <v>18</v>
      </c>
      <c r="I375" s="2">
        <v>15</v>
      </c>
      <c r="J375" s="2">
        <v>1500000</v>
      </c>
      <c r="K375" s="2">
        <v>22500000</v>
      </c>
      <c r="L375" s="3">
        <v>0.15</v>
      </c>
      <c r="M375" t="s">
        <v>19</v>
      </c>
      <c r="N375" t="s">
        <v>796</v>
      </c>
    </row>
    <row r="376" spans="1:14" x14ac:dyDescent="0.25">
      <c r="A376" t="s">
        <v>797</v>
      </c>
      <c r="B376" s="10">
        <v>46127</v>
      </c>
      <c r="C376" t="str">
        <f t="shared" si="6"/>
        <v>April</v>
      </c>
      <c r="D376" t="s">
        <v>39</v>
      </c>
      <c r="E376" t="s">
        <v>40</v>
      </c>
      <c r="F376" t="s">
        <v>41</v>
      </c>
      <c r="G376" t="s">
        <v>29</v>
      </c>
      <c r="H376" t="s">
        <v>30</v>
      </c>
      <c r="I376" s="2">
        <v>13</v>
      </c>
      <c r="J376" s="2">
        <v>12000000</v>
      </c>
      <c r="K376" s="2">
        <v>156000000</v>
      </c>
      <c r="L376" s="3">
        <v>0.15</v>
      </c>
      <c r="M376" t="s">
        <v>19</v>
      </c>
      <c r="N376" t="s">
        <v>798</v>
      </c>
    </row>
    <row r="377" spans="1:14" x14ac:dyDescent="0.25">
      <c r="A377" t="s">
        <v>799</v>
      </c>
      <c r="B377" s="10">
        <v>46137</v>
      </c>
      <c r="C377" t="str">
        <f t="shared" si="6"/>
        <v>April</v>
      </c>
      <c r="D377" t="s">
        <v>34</v>
      </c>
      <c r="E377" t="s">
        <v>35</v>
      </c>
      <c r="F377" t="s">
        <v>36</v>
      </c>
      <c r="G377" t="s">
        <v>42</v>
      </c>
      <c r="H377" t="s">
        <v>43</v>
      </c>
      <c r="I377" s="2">
        <v>2</v>
      </c>
      <c r="J377" s="2">
        <v>2000000</v>
      </c>
      <c r="K377" s="2">
        <v>4000000</v>
      </c>
      <c r="L377" s="3">
        <v>0.05</v>
      </c>
      <c r="M377" t="s">
        <v>51</v>
      </c>
      <c r="N377" t="s">
        <v>800</v>
      </c>
    </row>
    <row r="378" spans="1:14" x14ac:dyDescent="0.25">
      <c r="A378" t="s">
        <v>801</v>
      </c>
      <c r="B378" s="10">
        <v>46112</v>
      </c>
      <c r="C378" t="str">
        <f t="shared" si="6"/>
        <v>March</v>
      </c>
      <c r="D378" t="s">
        <v>14</v>
      </c>
      <c r="E378" t="s">
        <v>15</v>
      </c>
      <c r="F378" t="s">
        <v>16</v>
      </c>
      <c r="G378" t="s">
        <v>29</v>
      </c>
      <c r="H378" t="s">
        <v>30</v>
      </c>
      <c r="I378" s="2">
        <v>9</v>
      </c>
      <c r="J378" s="2">
        <v>3500000</v>
      </c>
      <c r="K378" s="2">
        <v>31500000</v>
      </c>
      <c r="L378" s="3">
        <v>0.15</v>
      </c>
      <c r="M378" t="s">
        <v>31</v>
      </c>
      <c r="N378" t="s">
        <v>802</v>
      </c>
    </row>
    <row r="379" spans="1:14" x14ac:dyDescent="0.25">
      <c r="A379" t="s">
        <v>803</v>
      </c>
      <c r="B379" s="10">
        <v>46209</v>
      </c>
      <c r="C379" t="str">
        <f t="shared" si="6"/>
        <v>July</v>
      </c>
      <c r="D379" t="s">
        <v>26</v>
      </c>
      <c r="E379" t="s">
        <v>27</v>
      </c>
      <c r="F379" t="s">
        <v>28</v>
      </c>
      <c r="G379" t="s">
        <v>17</v>
      </c>
      <c r="H379" t="s">
        <v>18</v>
      </c>
      <c r="I379" s="2">
        <v>13</v>
      </c>
      <c r="J379" s="2">
        <v>2500000</v>
      </c>
      <c r="K379" s="2">
        <v>32500000</v>
      </c>
      <c r="L379" s="3">
        <v>0</v>
      </c>
      <c r="M379" t="s">
        <v>19</v>
      </c>
      <c r="N379" t="s">
        <v>804</v>
      </c>
    </row>
    <row r="380" spans="1:14" x14ac:dyDescent="0.25">
      <c r="A380" t="s">
        <v>805</v>
      </c>
      <c r="B380" s="10">
        <v>46195</v>
      </c>
      <c r="C380" t="str">
        <f t="shared" si="6"/>
        <v>June</v>
      </c>
      <c r="D380" t="s">
        <v>34</v>
      </c>
      <c r="E380" t="s">
        <v>35</v>
      </c>
      <c r="F380" t="s">
        <v>36</v>
      </c>
      <c r="G380" t="s">
        <v>22</v>
      </c>
      <c r="H380" t="s">
        <v>23</v>
      </c>
      <c r="I380" s="2">
        <v>7</v>
      </c>
      <c r="J380" s="2">
        <v>2000000</v>
      </c>
      <c r="K380" s="2">
        <v>14000000</v>
      </c>
      <c r="L380" s="3">
        <v>0.05</v>
      </c>
      <c r="M380" t="s">
        <v>19</v>
      </c>
      <c r="N380" t="s">
        <v>806</v>
      </c>
    </row>
    <row r="381" spans="1:14" x14ac:dyDescent="0.25">
      <c r="A381" t="s">
        <v>807</v>
      </c>
      <c r="B381" s="10">
        <v>46111</v>
      </c>
      <c r="C381" t="str">
        <f t="shared" si="6"/>
        <v>March</v>
      </c>
      <c r="D381" t="s">
        <v>39</v>
      </c>
      <c r="E381" t="s">
        <v>40</v>
      </c>
      <c r="F381" t="s">
        <v>41</v>
      </c>
      <c r="G381" t="s">
        <v>65</v>
      </c>
      <c r="H381" t="s">
        <v>66</v>
      </c>
      <c r="I381" s="2">
        <v>4</v>
      </c>
      <c r="J381" s="2">
        <v>12000000</v>
      </c>
      <c r="K381" s="2">
        <v>48000000</v>
      </c>
      <c r="L381" s="3">
        <v>0</v>
      </c>
      <c r="M381" t="s">
        <v>19</v>
      </c>
      <c r="N381" t="s">
        <v>808</v>
      </c>
    </row>
    <row r="382" spans="1:14" x14ac:dyDescent="0.25">
      <c r="A382" t="s">
        <v>809</v>
      </c>
      <c r="B382" s="10">
        <v>46192</v>
      </c>
      <c r="C382" t="str">
        <f t="shared" si="6"/>
        <v>June</v>
      </c>
      <c r="D382" t="s">
        <v>34</v>
      </c>
      <c r="E382" t="s">
        <v>35</v>
      </c>
      <c r="F382" t="s">
        <v>36</v>
      </c>
      <c r="G382" t="s">
        <v>22</v>
      </c>
      <c r="H382" t="s">
        <v>23</v>
      </c>
      <c r="I382" s="2">
        <v>13</v>
      </c>
      <c r="J382" s="2">
        <v>2000000</v>
      </c>
      <c r="K382" s="2">
        <v>26000000</v>
      </c>
      <c r="L382" s="3">
        <v>0</v>
      </c>
      <c r="M382" t="s">
        <v>19</v>
      </c>
      <c r="N382" t="s">
        <v>810</v>
      </c>
    </row>
    <row r="383" spans="1:14" x14ac:dyDescent="0.25">
      <c r="A383" t="s">
        <v>811</v>
      </c>
      <c r="B383" s="10">
        <v>46040</v>
      </c>
      <c r="C383" t="str">
        <f t="shared" si="6"/>
        <v>January</v>
      </c>
      <c r="D383" t="s">
        <v>14</v>
      </c>
      <c r="E383" t="s">
        <v>15</v>
      </c>
      <c r="F383" t="s">
        <v>16</v>
      </c>
      <c r="G383" t="s">
        <v>22</v>
      </c>
      <c r="H383" t="s">
        <v>23</v>
      </c>
      <c r="I383" s="2">
        <v>1</v>
      </c>
      <c r="J383" s="2">
        <v>3500000</v>
      </c>
      <c r="K383" s="2">
        <v>3500000</v>
      </c>
      <c r="L383" s="3">
        <v>0.15</v>
      </c>
      <c r="M383" t="s">
        <v>31</v>
      </c>
      <c r="N383" t="s">
        <v>812</v>
      </c>
    </row>
    <row r="384" spans="1:14" x14ac:dyDescent="0.25">
      <c r="A384" t="s">
        <v>813</v>
      </c>
      <c r="B384" s="10">
        <v>46203</v>
      </c>
      <c r="C384" t="str">
        <f t="shared" si="6"/>
        <v>June</v>
      </c>
      <c r="D384" t="s">
        <v>92</v>
      </c>
      <c r="E384" t="s">
        <v>93</v>
      </c>
      <c r="F384" t="s">
        <v>16</v>
      </c>
      <c r="G384" t="s">
        <v>29</v>
      </c>
      <c r="H384" t="s">
        <v>30</v>
      </c>
      <c r="I384" s="2">
        <v>12</v>
      </c>
      <c r="J384" s="2">
        <v>1500000</v>
      </c>
      <c r="K384" s="2">
        <v>18000000</v>
      </c>
      <c r="L384" s="3">
        <v>0</v>
      </c>
      <c r="M384" t="s">
        <v>77</v>
      </c>
      <c r="N384" t="s">
        <v>814</v>
      </c>
    </row>
    <row r="385" spans="1:14" x14ac:dyDescent="0.25">
      <c r="A385" t="s">
        <v>815</v>
      </c>
      <c r="B385" s="10">
        <v>46082</v>
      </c>
      <c r="C385" t="str">
        <f t="shared" si="6"/>
        <v>March</v>
      </c>
      <c r="D385" t="s">
        <v>26</v>
      </c>
      <c r="E385" t="s">
        <v>27</v>
      </c>
      <c r="F385" t="s">
        <v>28</v>
      </c>
      <c r="G385" t="s">
        <v>17</v>
      </c>
      <c r="H385" t="s">
        <v>18</v>
      </c>
      <c r="I385" s="2">
        <v>3</v>
      </c>
      <c r="J385" s="2">
        <v>2500000</v>
      </c>
      <c r="K385" s="2">
        <v>7500000</v>
      </c>
      <c r="L385" s="3">
        <v>0.1</v>
      </c>
      <c r="M385" t="s">
        <v>19</v>
      </c>
      <c r="N385" t="s">
        <v>816</v>
      </c>
    </row>
    <row r="386" spans="1:14" x14ac:dyDescent="0.25">
      <c r="A386" t="s">
        <v>817</v>
      </c>
      <c r="B386" s="10">
        <v>46210</v>
      </c>
      <c r="C386" t="str">
        <f t="shared" si="6"/>
        <v>July</v>
      </c>
      <c r="D386" t="s">
        <v>46</v>
      </c>
      <c r="E386" t="s">
        <v>47</v>
      </c>
      <c r="F386" t="s">
        <v>48</v>
      </c>
      <c r="G386" t="s">
        <v>22</v>
      </c>
      <c r="H386" t="s">
        <v>23</v>
      </c>
      <c r="I386" s="2">
        <v>10</v>
      </c>
      <c r="J386" s="2">
        <v>750000</v>
      </c>
      <c r="K386" s="2">
        <v>7500000</v>
      </c>
      <c r="L386" s="3">
        <v>0.1</v>
      </c>
      <c r="M386" t="s">
        <v>19</v>
      </c>
      <c r="N386" t="s">
        <v>818</v>
      </c>
    </row>
    <row r="387" spans="1:14" x14ac:dyDescent="0.25">
      <c r="A387" t="s">
        <v>819</v>
      </c>
      <c r="B387" s="10">
        <v>46059</v>
      </c>
      <c r="C387" t="str">
        <f t="shared" ref="C387:C450" si="7">TEXT(B387, "MMMM")</f>
        <v>February</v>
      </c>
      <c r="D387" t="s">
        <v>26</v>
      </c>
      <c r="E387" t="s">
        <v>27</v>
      </c>
      <c r="F387" t="s">
        <v>28</v>
      </c>
      <c r="G387" t="s">
        <v>42</v>
      </c>
      <c r="H387" t="s">
        <v>43</v>
      </c>
      <c r="I387" s="2">
        <v>5</v>
      </c>
      <c r="J387" s="2">
        <v>2500000</v>
      </c>
      <c r="K387" s="2">
        <v>12500000</v>
      </c>
      <c r="L387" s="3">
        <v>0.1</v>
      </c>
      <c r="M387" t="s">
        <v>19</v>
      </c>
      <c r="N387" t="s">
        <v>820</v>
      </c>
    </row>
    <row r="388" spans="1:14" x14ac:dyDescent="0.25">
      <c r="A388" t="s">
        <v>821</v>
      </c>
      <c r="B388" s="10">
        <v>46174</v>
      </c>
      <c r="C388" t="str">
        <f t="shared" si="7"/>
        <v>June</v>
      </c>
      <c r="D388" t="s">
        <v>39</v>
      </c>
      <c r="E388" t="s">
        <v>40</v>
      </c>
      <c r="F388" t="s">
        <v>41</v>
      </c>
      <c r="G388" t="s">
        <v>42</v>
      </c>
      <c r="H388" t="s">
        <v>43</v>
      </c>
      <c r="I388" s="2">
        <v>9</v>
      </c>
      <c r="J388" s="2">
        <v>12000000</v>
      </c>
      <c r="K388" s="2">
        <v>108000000</v>
      </c>
      <c r="L388" s="3">
        <v>0.15</v>
      </c>
      <c r="M388" t="s">
        <v>19</v>
      </c>
      <c r="N388" t="s">
        <v>822</v>
      </c>
    </row>
    <row r="389" spans="1:14" x14ac:dyDescent="0.25">
      <c r="A389" t="s">
        <v>823</v>
      </c>
      <c r="B389" s="10">
        <v>46187</v>
      </c>
      <c r="C389" t="str">
        <f t="shared" si="7"/>
        <v>June</v>
      </c>
      <c r="D389" t="s">
        <v>34</v>
      </c>
      <c r="E389" t="s">
        <v>35</v>
      </c>
      <c r="F389" t="s">
        <v>36</v>
      </c>
      <c r="G389" t="s">
        <v>22</v>
      </c>
      <c r="H389" t="s">
        <v>23</v>
      </c>
      <c r="I389" s="2">
        <v>6</v>
      </c>
      <c r="J389" s="2">
        <v>2000000</v>
      </c>
      <c r="K389" s="2">
        <v>12000000</v>
      </c>
      <c r="L389" s="3">
        <v>0.15</v>
      </c>
      <c r="M389" t="s">
        <v>77</v>
      </c>
      <c r="N389" t="s">
        <v>824</v>
      </c>
    </row>
    <row r="390" spans="1:14" x14ac:dyDescent="0.25">
      <c r="A390" t="s">
        <v>825</v>
      </c>
      <c r="B390" s="10">
        <v>46099</v>
      </c>
      <c r="C390" t="str">
        <f t="shared" si="7"/>
        <v>March</v>
      </c>
      <c r="D390" t="s">
        <v>34</v>
      </c>
      <c r="E390" t="s">
        <v>35</v>
      </c>
      <c r="F390" t="s">
        <v>36</v>
      </c>
      <c r="G390" t="s">
        <v>29</v>
      </c>
      <c r="H390" t="s">
        <v>30</v>
      </c>
      <c r="I390" s="2">
        <v>13</v>
      </c>
      <c r="J390" s="2">
        <v>2000000</v>
      </c>
      <c r="K390" s="2">
        <v>26000000</v>
      </c>
      <c r="L390" s="3">
        <v>0.15</v>
      </c>
      <c r="M390" t="s">
        <v>19</v>
      </c>
      <c r="N390" t="s">
        <v>826</v>
      </c>
    </row>
    <row r="391" spans="1:14" x14ac:dyDescent="0.25">
      <c r="A391" t="s">
        <v>827</v>
      </c>
      <c r="B391" s="10">
        <v>46080</v>
      </c>
      <c r="C391" t="str">
        <f t="shared" si="7"/>
        <v>February</v>
      </c>
      <c r="D391" t="s">
        <v>58</v>
      </c>
      <c r="E391" t="s">
        <v>59</v>
      </c>
      <c r="F391" t="s">
        <v>28</v>
      </c>
      <c r="G391" t="s">
        <v>29</v>
      </c>
      <c r="H391" t="s">
        <v>30</v>
      </c>
      <c r="I391" s="2">
        <v>13</v>
      </c>
      <c r="J391" s="2">
        <v>5500000</v>
      </c>
      <c r="K391" s="2">
        <v>71500000</v>
      </c>
      <c r="L391" s="3">
        <v>0.15</v>
      </c>
      <c r="M391" t="s">
        <v>19</v>
      </c>
      <c r="N391" t="s">
        <v>828</v>
      </c>
    </row>
    <row r="392" spans="1:14" x14ac:dyDescent="0.25">
      <c r="A392" t="s">
        <v>829</v>
      </c>
      <c r="B392" s="10">
        <v>46128</v>
      </c>
      <c r="C392" t="str">
        <f t="shared" si="7"/>
        <v>April</v>
      </c>
      <c r="D392" t="s">
        <v>34</v>
      </c>
      <c r="E392" t="s">
        <v>35</v>
      </c>
      <c r="F392" t="s">
        <v>36</v>
      </c>
      <c r="G392" t="s">
        <v>22</v>
      </c>
      <c r="H392" t="s">
        <v>23</v>
      </c>
      <c r="I392" s="2">
        <v>9</v>
      </c>
      <c r="J392" s="2">
        <v>2000000</v>
      </c>
      <c r="K392" s="2">
        <v>18000000</v>
      </c>
      <c r="L392" s="3">
        <v>0.05</v>
      </c>
      <c r="M392" t="s">
        <v>77</v>
      </c>
      <c r="N392" t="s">
        <v>830</v>
      </c>
    </row>
    <row r="393" spans="1:14" x14ac:dyDescent="0.25">
      <c r="A393" t="s">
        <v>831</v>
      </c>
      <c r="B393" s="10">
        <v>46088</v>
      </c>
      <c r="C393" t="str">
        <f t="shared" si="7"/>
        <v>March</v>
      </c>
      <c r="D393" t="s">
        <v>26</v>
      </c>
      <c r="E393" t="s">
        <v>27</v>
      </c>
      <c r="F393" t="s">
        <v>28</v>
      </c>
      <c r="G393" t="s">
        <v>65</v>
      </c>
      <c r="H393" t="s">
        <v>66</v>
      </c>
      <c r="I393" s="2">
        <v>11</v>
      </c>
      <c r="J393" s="2">
        <v>2500000</v>
      </c>
      <c r="K393" s="2">
        <v>27500000</v>
      </c>
      <c r="L393" s="3">
        <v>0</v>
      </c>
      <c r="M393" t="s">
        <v>77</v>
      </c>
      <c r="N393" t="s">
        <v>832</v>
      </c>
    </row>
    <row r="394" spans="1:14" x14ac:dyDescent="0.25">
      <c r="A394" t="s">
        <v>833</v>
      </c>
      <c r="B394" s="10">
        <v>46117</v>
      </c>
      <c r="C394" t="str">
        <f t="shared" si="7"/>
        <v>April</v>
      </c>
      <c r="D394" t="s">
        <v>14</v>
      </c>
      <c r="E394" t="s">
        <v>15</v>
      </c>
      <c r="F394" t="s">
        <v>16</v>
      </c>
      <c r="G394" t="s">
        <v>22</v>
      </c>
      <c r="H394" t="s">
        <v>23</v>
      </c>
      <c r="I394" s="2">
        <v>12</v>
      </c>
      <c r="J394" s="2">
        <v>3500000</v>
      </c>
      <c r="K394" s="2">
        <v>42000000</v>
      </c>
      <c r="L394" s="3">
        <v>0.05</v>
      </c>
      <c r="M394" t="s">
        <v>19</v>
      </c>
      <c r="N394" t="s">
        <v>834</v>
      </c>
    </row>
    <row r="395" spans="1:14" x14ac:dyDescent="0.25">
      <c r="A395" t="s">
        <v>835</v>
      </c>
      <c r="B395" s="10">
        <v>46119</v>
      </c>
      <c r="C395" t="str">
        <f t="shared" si="7"/>
        <v>April</v>
      </c>
      <c r="D395" t="s">
        <v>92</v>
      </c>
      <c r="E395" t="s">
        <v>93</v>
      </c>
      <c r="F395" t="s">
        <v>16</v>
      </c>
      <c r="G395" t="s">
        <v>17</v>
      </c>
      <c r="H395" t="s">
        <v>18</v>
      </c>
      <c r="I395" s="2">
        <v>4</v>
      </c>
      <c r="J395" s="2">
        <v>1500000</v>
      </c>
      <c r="K395" s="2">
        <v>6000000</v>
      </c>
      <c r="L395" s="3">
        <v>0.05</v>
      </c>
      <c r="M395" t="s">
        <v>77</v>
      </c>
      <c r="N395" t="s">
        <v>836</v>
      </c>
    </row>
    <row r="396" spans="1:14" x14ac:dyDescent="0.25">
      <c r="A396" t="s">
        <v>837</v>
      </c>
      <c r="B396" s="10">
        <v>46108</v>
      </c>
      <c r="C396" t="str">
        <f t="shared" si="7"/>
        <v>March</v>
      </c>
      <c r="D396" t="s">
        <v>58</v>
      </c>
      <c r="E396" t="s">
        <v>59</v>
      </c>
      <c r="F396" t="s">
        <v>28</v>
      </c>
      <c r="G396" t="s">
        <v>17</v>
      </c>
      <c r="H396" t="s">
        <v>18</v>
      </c>
      <c r="I396" s="2">
        <v>4</v>
      </c>
      <c r="J396" s="2">
        <v>5500000</v>
      </c>
      <c r="K396" s="2">
        <v>22000000</v>
      </c>
      <c r="L396" s="3">
        <v>0.05</v>
      </c>
      <c r="M396" t="s">
        <v>51</v>
      </c>
      <c r="N396" t="s">
        <v>838</v>
      </c>
    </row>
    <row r="397" spans="1:14" x14ac:dyDescent="0.25">
      <c r="A397" t="s">
        <v>839</v>
      </c>
      <c r="B397" s="10">
        <v>46214</v>
      </c>
      <c r="C397" t="str">
        <f t="shared" si="7"/>
        <v>July</v>
      </c>
      <c r="D397" t="s">
        <v>62</v>
      </c>
      <c r="E397" t="s">
        <v>63</v>
      </c>
      <c r="F397" t="s">
        <v>64</v>
      </c>
      <c r="G397" t="s">
        <v>29</v>
      </c>
      <c r="H397" t="s">
        <v>30</v>
      </c>
      <c r="I397" s="2">
        <v>12</v>
      </c>
      <c r="J397" s="2">
        <v>4000000</v>
      </c>
      <c r="K397" s="2">
        <v>48000000</v>
      </c>
      <c r="L397" s="3">
        <v>0.05</v>
      </c>
      <c r="M397" t="s">
        <v>77</v>
      </c>
      <c r="N397" t="s">
        <v>840</v>
      </c>
    </row>
    <row r="398" spans="1:14" x14ac:dyDescent="0.25">
      <c r="A398" t="s">
        <v>841</v>
      </c>
      <c r="B398" s="10">
        <v>46164</v>
      </c>
      <c r="C398" t="str">
        <f t="shared" si="7"/>
        <v>May</v>
      </c>
      <c r="D398" t="s">
        <v>46</v>
      </c>
      <c r="E398" t="s">
        <v>47</v>
      </c>
      <c r="F398" t="s">
        <v>48</v>
      </c>
      <c r="G398" t="s">
        <v>65</v>
      </c>
      <c r="H398" t="s">
        <v>66</v>
      </c>
      <c r="I398" s="2">
        <v>7</v>
      </c>
      <c r="J398" s="2">
        <v>750000</v>
      </c>
      <c r="K398" s="2">
        <v>5250000</v>
      </c>
      <c r="L398" s="3">
        <v>0.15</v>
      </c>
      <c r="M398" t="s">
        <v>31</v>
      </c>
      <c r="N398" t="s">
        <v>842</v>
      </c>
    </row>
    <row r="399" spans="1:14" x14ac:dyDescent="0.25">
      <c r="A399" t="s">
        <v>843</v>
      </c>
      <c r="B399" s="10">
        <v>46114</v>
      </c>
      <c r="C399" t="str">
        <f t="shared" si="7"/>
        <v>April</v>
      </c>
      <c r="D399" t="s">
        <v>58</v>
      </c>
      <c r="E399" t="s">
        <v>59</v>
      </c>
      <c r="F399" t="s">
        <v>28</v>
      </c>
      <c r="G399" t="s">
        <v>65</v>
      </c>
      <c r="H399" t="s">
        <v>66</v>
      </c>
      <c r="I399" s="2">
        <v>6</v>
      </c>
      <c r="J399" s="2">
        <v>5500000</v>
      </c>
      <c r="K399" s="2">
        <v>33000000</v>
      </c>
      <c r="L399" s="3">
        <v>0.15</v>
      </c>
      <c r="M399" t="s">
        <v>77</v>
      </c>
      <c r="N399" t="s">
        <v>844</v>
      </c>
    </row>
    <row r="400" spans="1:14" x14ac:dyDescent="0.25">
      <c r="A400" t="s">
        <v>845</v>
      </c>
      <c r="B400" s="10">
        <v>46228</v>
      </c>
      <c r="C400" t="str">
        <f t="shared" si="7"/>
        <v>July</v>
      </c>
      <c r="D400" t="s">
        <v>62</v>
      </c>
      <c r="E400" t="s">
        <v>63</v>
      </c>
      <c r="F400" t="s">
        <v>64</v>
      </c>
      <c r="G400" t="s">
        <v>65</v>
      </c>
      <c r="H400" t="s">
        <v>66</v>
      </c>
      <c r="I400" s="2">
        <v>15</v>
      </c>
      <c r="J400" s="2">
        <v>4000000</v>
      </c>
      <c r="K400" s="2">
        <v>60000000</v>
      </c>
      <c r="L400" s="3">
        <v>0.05</v>
      </c>
      <c r="M400" t="s">
        <v>19</v>
      </c>
      <c r="N400" t="s">
        <v>846</v>
      </c>
    </row>
    <row r="401" spans="1:14" x14ac:dyDescent="0.25">
      <c r="A401" t="s">
        <v>847</v>
      </c>
      <c r="B401" s="10">
        <v>46128</v>
      </c>
      <c r="C401" t="str">
        <f t="shared" si="7"/>
        <v>April</v>
      </c>
      <c r="D401" t="s">
        <v>92</v>
      </c>
      <c r="E401" t="s">
        <v>93</v>
      </c>
      <c r="F401" t="s">
        <v>16</v>
      </c>
      <c r="G401" t="s">
        <v>22</v>
      </c>
      <c r="H401" t="s">
        <v>23</v>
      </c>
      <c r="I401" s="2">
        <v>14</v>
      </c>
      <c r="J401" s="2">
        <v>1500000</v>
      </c>
      <c r="K401" s="2">
        <v>21000000</v>
      </c>
      <c r="L401" s="3">
        <v>0.05</v>
      </c>
      <c r="M401" t="s">
        <v>51</v>
      </c>
      <c r="N401" t="s">
        <v>848</v>
      </c>
    </row>
    <row r="402" spans="1:14" x14ac:dyDescent="0.25">
      <c r="A402" t="s">
        <v>849</v>
      </c>
      <c r="B402" s="10">
        <v>46027</v>
      </c>
      <c r="C402" t="str">
        <f t="shared" si="7"/>
        <v>January</v>
      </c>
      <c r="D402" t="s">
        <v>58</v>
      </c>
      <c r="E402" t="s">
        <v>59</v>
      </c>
      <c r="F402" t="s">
        <v>28</v>
      </c>
      <c r="G402" t="s">
        <v>22</v>
      </c>
      <c r="H402" t="s">
        <v>23</v>
      </c>
      <c r="I402" s="2">
        <v>15</v>
      </c>
      <c r="J402" s="2">
        <v>5500000</v>
      </c>
      <c r="K402" s="2">
        <v>82500000</v>
      </c>
      <c r="L402" s="3">
        <v>0.15</v>
      </c>
      <c r="M402" t="s">
        <v>19</v>
      </c>
      <c r="N402" t="s">
        <v>850</v>
      </c>
    </row>
    <row r="403" spans="1:14" x14ac:dyDescent="0.25">
      <c r="A403" t="s">
        <v>851</v>
      </c>
      <c r="B403" s="10">
        <v>46073</v>
      </c>
      <c r="C403" t="str">
        <f t="shared" si="7"/>
        <v>February</v>
      </c>
      <c r="D403" t="s">
        <v>46</v>
      </c>
      <c r="E403" t="s">
        <v>47</v>
      </c>
      <c r="F403" t="s">
        <v>48</v>
      </c>
      <c r="G403" t="s">
        <v>29</v>
      </c>
      <c r="H403" t="s">
        <v>30</v>
      </c>
      <c r="I403" s="2">
        <v>7</v>
      </c>
      <c r="J403" s="2">
        <v>750000</v>
      </c>
      <c r="K403" s="2">
        <v>5250000</v>
      </c>
      <c r="L403" s="3">
        <v>0.05</v>
      </c>
      <c r="M403" t="s">
        <v>77</v>
      </c>
      <c r="N403" t="s">
        <v>852</v>
      </c>
    </row>
    <row r="404" spans="1:14" x14ac:dyDescent="0.25">
      <c r="A404" t="s">
        <v>853</v>
      </c>
      <c r="B404" s="10">
        <v>46190</v>
      </c>
      <c r="C404" t="str">
        <f t="shared" si="7"/>
        <v>June</v>
      </c>
      <c r="D404" t="s">
        <v>46</v>
      </c>
      <c r="E404" t="s">
        <v>47</v>
      </c>
      <c r="F404" t="s">
        <v>48</v>
      </c>
      <c r="G404" t="s">
        <v>65</v>
      </c>
      <c r="H404" t="s">
        <v>66</v>
      </c>
      <c r="I404" s="2">
        <v>13</v>
      </c>
      <c r="J404" s="2">
        <v>750000</v>
      </c>
      <c r="K404" s="2">
        <v>9750000</v>
      </c>
      <c r="L404" s="3">
        <v>0.15</v>
      </c>
      <c r="M404" t="s">
        <v>51</v>
      </c>
      <c r="N404" t="s">
        <v>854</v>
      </c>
    </row>
    <row r="405" spans="1:14" x14ac:dyDescent="0.25">
      <c r="A405" t="s">
        <v>855</v>
      </c>
      <c r="B405" s="10">
        <v>46212</v>
      </c>
      <c r="C405" t="str">
        <f t="shared" si="7"/>
        <v>July</v>
      </c>
      <c r="D405" t="s">
        <v>62</v>
      </c>
      <c r="E405" t="s">
        <v>63</v>
      </c>
      <c r="F405" t="s">
        <v>64</v>
      </c>
      <c r="G405" t="s">
        <v>42</v>
      </c>
      <c r="H405" t="s">
        <v>43</v>
      </c>
      <c r="I405" s="2">
        <v>3</v>
      </c>
      <c r="J405" s="2">
        <v>4000000</v>
      </c>
      <c r="K405" s="2">
        <v>12000000</v>
      </c>
      <c r="L405" s="3">
        <v>0.1</v>
      </c>
      <c r="M405" t="s">
        <v>19</v>
      </c>
      <c r="N405" t="s">
        <v>856</v>
      </c>
    </row>
    <row r="406" spans="1:14" x14ac:dyDescent="0.25">
      <c r="A406" t="s">
        <v>857</v>
      </c>
      <c r="B406" s="10">
        <v>46207</v>
      </c>
      <c r="C406" t="str">
        <f t="shared" si="7"/>
        <v>July</v>
      </c>
      <c r="D406" t="s">
        <v>62</v>
      </c>
      <c r="E406" t="s">
        <v>63</v>
      </c>
      <c r="F406" t="s">
        <v>64</v>
      </c>
      <c r="G406" t="s">
        <v>29</v>
      </c>
      <c r="H406" t="s">
        <v>30</v>
      </c>
      <c r="I406" s="2">
        <v>15</v>
      </c>
      <c r="J406" s="2">
        <v>4000000</v>
      </c>
      <c r="K406" s="2">
        <v>60000000</v>
      </c>
      <c r="L406" s="3">
        <v>0</v>
      </c>
      <c r="M406" t="s">
        <v>31</v>
      </c>
      <c r="N406" t="s">
        <v>858</v>
      </c>
    </row>
    <row r="407" spans="1:14" x14ac:dyDescent="0.25">
      <c r="A407" t="s">
        <v>859</v>
      </c>
      <c r="B407" s="10">
        <v>46237</v>
      </c>
      <c r="C407" t="str">
        <f t="shared" si="7"/>
        <v>August</v>
      </c>
      <c r="D407" t="s">
        <v>14</v>
      </c>
      <c r="E407" t="s">
        <v>15</v>
      </c>
      <c r="F407" t="s">
        <v>16</v>
      </c>
      <c r="G407" t="s">
        <v>17</v>
      </c>
      <c r="H407" t="s">
        <v>18</v>
      </c>
      <c r="I407" s="2">
        <v>13</v>
      </c>
      <c r="J407" s="2">
        <v>3500000</v>
      </c>
      <c r="K407" s="2">
        <v>45500000</v>
      </c>
      <c r="L407" s="3">
        <v>0</v>
      </c>
      <c r="M407" t="s">
        <v>77</v>
      </c>
      <c r="N407" t="s">
        <v>860</v>
      </c>
    </row>
    <row r="408" spans="1:14" x14ac:dyDescent="0.25">
      <c r="A408" t="s">
        <v>861</v>
      </c>
      <c r="B408" s="10">
        <v>46238</v>
      </c>
      <c r="C408" t="str">
        <f t="shared" si="7"/>
        <v>August</v>
      </c>
      <c r="D408" t="s">
        <v>26</v>
      </c>
      <c r="E408" t="s">
        <v>27</v>
      </c>
      <c r="F408" t="s">
        <v>28</v>
      </c>
      <c r="G408" t="s">
        <v>17</v>
      </c>
      <c r="H408" t="s">
        <v>18</v>
      </c>
      <c r="I408" s="2">
        <v>12</v>
      </c>
      <c r="J408" s="2">
        <v>2500000</v>
      </c>
      <c r="K408" s="2">
        <v>30000000</v>
      </c>
      <c r="L408" s="3">
        <v>0.05</v>
      </c>
      <c r="M408" t="s">
        <v>19</v>
      </c>
      <c r="N408" t="s">
        <v>862</v>
      </c>
    </row>
    <row r="409" spans="1:14" x14ac:dyDescent="0.25">
      <c r="A409" t="s">
        <v>863</v>
      </c>
      <c r="B409" s="10">
        <v>46152</v>
      </c>
      <c r="C409" t="str">
        <f t="shared" si="7"/>
        <v>May</v>
      </c>
      <c r="D409" t="s">
        <v>62</v>
      </c>
      <c r="E409" t="s">
        <v>63</v>
      </c>
      <c r="F409" t="s">
        <v>64</v>
      </c>
      <c r="G409" t="s">
        <v>65</v>
      </c>
      <c r="H409" t="s">
        <v>66</v>
      </c>
      <c r="I409" s="2">
        <v>1</v>
      </c>
      <c r="J409" s="2">
        <v>4000000</v>
      </c>
      <c r="K409" s="2">
        <v>4000000</v>
      </c>
      <c r="L409" s="3">
        <v>0.15</v>
      </c>
      <c r="M409" t="s">
        <v>51</v>
      </c>
      <c r="N409" t="s">
        <v>864</v>
      </c>
    </row>
    <row r="410" spans="1:14" x14ac:dyDescent="0.25">
      <c r="A410" t="s">
        <v>865</v>
      </c>
      <c r="B410" s="10">
        <v>46027</v>
      </c>
      <c r="C410" t="str">
        <f t="shared" si="7"/>
        <v>January</v>
      </c>
      <c r="D410" t="s">
        <v>92</v>
      </c>
      <c r="E410" t="s">
        <v>93</v>
      </c>
      <c r="F410" t="s">
        <v>16</v>
      </c>
      <c r="G410" t="s">
        <v>22</v>
      </c>
      <c r="H410" t="s">
        <v>23</v>
      </c>
      <c r="I410" s="2">
        <v>9</v>
      </c>
      <c r="J410" s="2">
        <v>1500000</v>
      </c>
      <c r="K410" s="2">
        <v>13500000</v>
      </c>
      <c r="L410" s="3">
        <v>0.15</v>
      </c>
      <c r="M410" t="s">
        <v>19</v>
      </c>
      <c r="N410" t="s">
        <v>866</v>
      </c>
    </row>
    <row r="411" spans="1:14" x14ac:dyDescent="0.25">
      <c r="A411" t="s">
        <v>867</v>
      </c>
      <c r="B411" s="10">
        <v>46158</v>
      </c>
      <c r="C411" t="str">
        <f t="shared" si="7"/>
        <v>May</v>
      </c>
      <c r="D411" t="s">
        <v>58</v>
      </c>
      <c r="E411" t="s">
        <v>59</v>
      </c>
      <c r="F411" t="s">
        <v>28</v>
      </c>
      <c r="G411" t="s">
        <v>22</v>
      </c>
      <c r="H411" t="s">
        <v>23</v>
      </c>
      <c r="I411" s="2">
        <v>5</v>
      </c>
      <c r="J411" s="2">
        <v>5500000</v>
      </c>
      <c r="K411" s="2">
        <v>27500000</v>
      </c>
      <c r="L411" s="3">
        <v>0</v>
      </c>
      <c r="M411" t="s">
        <v>31</v>
      </c>
      <c r="N411" t="s">
        <v>868</v>
      </c>
    </row>
    <row r="412" spans="1:14" x14ac:dyDescent="0.25">
      <c r="A412" t="s">
        <v>869</v>
      </c>
      <c r="B412" s="10">
        <v>46201</v>
      </c>
      <c r="C412" t="str">
        <f t="shared" si="7"/>
        <v>June</v>
      </c>
      <c r="D412" t="s">
        <v>34</v>
      </c>
      <c r="E412" t="s">
        <v>35</v>
      </c>
      <c r="F412" t="s">
        <v>36</v>
      </c>
      <c r="G412" t="s">
        <v>29</v>
      </c>
      <c r="H412" t="s">
        <v>30</v>
      </c>
      <c r="I412" s="2">
        <v>2</v>
      </c>
      <c r="J412" s="2">
        <v>2000000</v>
      </c>
      <c r="K412" s="2">
        <v>4000000</v>
      </c>
      <c r="L412" s="3">
        <v>0</v>
      </c>
      <c r="M412" t="s">
        <v>31</v>
      </c>
      <c r="N412" t="s">
        <v>870</v>
      </c>
    </row>
    <row r="413" spans="1:14" x14ac:dyDescent="0.25">
      <c r="A413" t="s">
        <v>871</v>
      </c>
      <c r="B413" s="10">
        <v>46084</v>
      </c>
      <c r="C413" t="str">
        <f t="shared" si="7"/>
        <v>March</v>
      </c>
      <c r="D413" t="s">
        <v>26</v>
      </c>
      <c r="E413" t="s">
        <v>27</v>
      </c>
      <c r="F413" t="s">
        <v>28</v>
      </c>
      <c r="G413" t="s">
        <v>22</v>
      </c>
      <c r="H413" t="s">
        <v>23</v>
      </c>
      <c r="I413" s="2">
        <v>9</v>
      </c>
      <c r="J413" s="2">
        <v>2500000</v>
      </c>
      <c r="K413" s="2">
        <v>22500000</v>
      </c>
      <c r="L413" s="3">
        <v>0.1</v>
      </c>
      <c r="M413" t="s">
        <v>19</v>
      </c>
      <c r="N413" t="s">
        <v>872</v>
      </c>
    </row>
    <row r="414" spans="1:14" x14ac:dyDescent="0.25">
      <c r="A414" t="s">
        <v>873</v>
      </c>
      <c r="B414" s="10">
        <v>46226</v>
      </c>
      <c r="C414" t="str">
        <f t="shared" si="7"/>
        <v>July</v>
      </c>
      <c r="D414" t="s">
        <v>34</v>
      </c>
      <c r="E414" t="s">
        <v>35</v>
      </c>
      <c r="F414" t="s">
        <v>36</v>
      </c>
      <c r="G414" t="s">
        <v>17</v>
      </c>
      <c r="H414" t="s">
        <v>18</v>
      </c>
      <c r="I414" s="2">
        <v>6</v>
      </c>
      <c r="J414" s="2">
        <v>2000000</v>
      </c>
      <c r="K414" s="2">
        <v>12000000</v>
      </c>
      <c r="L414" s="3">
        <v>0.15</v>
      </c>
      <c r="M414" t="s">
        <v>77</v>
      </c>
      <c r="N414" t="s">
        <v>874</v>
      </c>
    </row>
    <row r="415" spans="1:14" x14ac:dyDescent="0.25">
      <c r="A415" t="s">
        <v>875</v>
      </c>
      <c r="B415" s="10">
        <v>46085</v>
      </c>
      <c r="C415" t="str">
        <f t="shared" si="7"/>
        <v>March</v>
      </c>
      <c r="D415" t="s">
        <v>26</v>
      </c>
      <c r="E415" t="s">
        <v>27</v>
      </c>
      <c r="F415" t="s">
        <v>28</v>
      </c>
      <c r="G415" t="s">
        <v>65</v>
      </c>
      <c r="H415" t="s">
        <v>66</v>
      </c>
      <c r="I415" s="2">
        <v>11</v>
      </c>
      <c r="J415" s="2">
        <v>2500000</v>
      </c>
      <c r="K415" s="2">
        <v>27500000</v>
      </c>
      <c r="L415" s="3">
        <v>0</v>
      </c>
      <c r="M415" t="s">
        <v>51</v>
      </c>
      <c r="N415" t="s">
        <v>876</v>
      </c>
    </row>
    <row r="416" spans="1:14" x14ac:dyDescent="0.25">
      <c r="A416" t="s">
        <v>877</v>
      </c>
      <c r="B416" s="10">
        <v>46189</v>
      </c>
      <c r="C416" t="str">
        <f t="shared" si="7"/>
        <v>June</v>
      </c>
      <c r="D416" t="s">
        <v>92</v>
      </c>
      <c r="E416" t="s">
        <v>93</v>
      </c>
      <c r="F416" t="s">
        <v>16</v>
      </c>
      <c r="G416" t="s">
        <v>17</v>
      </c>
      <c r="H416" t="s">
        <v>18</v>
      </c>
      <c r="I416" s="2">
        <v>7</v>
      </c>
      <c r="J416" s="2">
        <v>1500000</v>
      </c>
      <c r="K416" s="2">
        <v>10500000</v>
      </c>
      <c r="L416" s="3">
        <v>0.15</v>
      </c>
      <c r="M416" t="s">
        <v>77</v>
      </c>
      <c r="N416" t="s">
        <v>878</v>
      </c>
    </row>
    <row r="417" spans="1:14" x14ac:dyDescent="0.25">
      <c r="A417" t="s">
        <v>879</v>
      </c>
      <c r="B417" s="10">
        <v>46144</v>
      </c>
      <c r="C417" t="str">
        <f t="shared" si="7"/>
        <v>May</v>
      </c>
      <c r="D417" t="s">
        <v>92</v>
      </c>
      <c r="E417" t="s">
        <v>93</v>
      </c>
      <c r="F417" t="s">
        <v>16</v>
      </c>
      <c r="G417" t="s">
        <v>17</v>
      </c>
      <c r="H417" t="s">
        <v>18</v>
      </c>
      <c r="I417" s="2">
        <v>12</v>
      </c>
      <c r="J417" s="2">
        <v>1500000</v>
      </c>
      <c r="K417" s="2">
        <v>18000000</v>
      </c>
      <c r="L417" s="3">
        <v>0.05</v>
      </c>
      <c r="M417" t="s">
        <v>19</v>
      </c>
      <c r="N417" t="s">
        <v>880</v>
      </c>
    </row>
    <row r="418" spans="1:14" x14ac:dyDescent="0.25">
      <c r="A418" t="s">
        <v>881</v>
      </c>
      <c r="B418" s="10">
        <v>46239</v>
      </c>
      <c r="C418" t="str">
        <f t="shared" si="7"/>
        <v>August</v>
      </c>
      <c r="D418" t="s">
        <v>34</v>
      </c>
      <c r="E418" t="s">
        <v>35</v>
      </c>
      <c r="F418" t="s">
        <v>36</v>
      </c>
      <c r="G418" t="s">
        <v>65</v>
      </c>
      <c r="H418" t="s">
        <v>66</v>
      </c>
      <c r="I418" s="2">
        <v>10</v>
      </c>
      <c r="J418" s="2">
        <v>2000000</v>
      </c>
      <c r="K418" s="2">
        <v>20000000</v>
      </c>
      <c r="L418" s="3">
        <v>0</v>
      </c>
      <c r="M418" t="s">
        <v>31</v>
      </c>
      <c r="N418" t="s">
        <v>882</v>
      </c>
    </row>
    <row r="419" spans="1:14" x14ac:dyDescent="0.25">
      <c r="A419" t="s">
        <v>883</v>
      </c>
      <c r="B419" s="10">
        <v>46081</v>
      </c>
      <c r="C419" t="str">
        <f t="shared" si="7"/>
        <v>February</v>
      </c>
      <c r="D419" t="s">
        <v>26</v>
      </c>
      <c r="E419" t="s">
        <v>27</v>
      </c>
      <c r="F419" t="s">
        <v>28</v>
      </c>
      <c r="G419" t="s">
        <v>22</v>
      </c>
      <c r="H419" t="s">
        <v>23</v>
      </c>
      <c r="I419" s="2">
        <v>8</v>
      </c>
      <c r="J419" s="2">
        <v>2500000</v>
      </c>
      <c r="K419" s="2">
        <v>20000000</v>
      </c>
      <c r="L419" s="3">
        <v>0.1</v>
      </c>
      <c r="M419" t="s">
        <v>19</v>
      </c>
      <c r="N419" t="s">
        <v>884</v>
      </c>
    </row>
    <row r="420" spans="1:14" x14ac:dyDescent="0.25">
      <c r="A420" t="s">
        <v>885</v>
      </c>
      <c r="B420" s="10">
        <v>46198</v>
      </c>
      <c r="C420" t="str">
        <f t="shared" si="7"/>
        <v>June</v>
      </c>
      <c r="D420" t="s">
        <v>58</v>
      </c>
      <c r="E420" t="s">
        <v>59</v>
      </c>
      <c r="F420" t="s">
        <v>28</v>
      </c>
      <c r="G420" t="s">
        <v>22</v>
      </c>
      <c r="H420" t="s">
        <v>23</v>
      </c>
      <c r="I420" s="2">
        <v>10</v>
      </c>
      <c r="J420" s="2">
        <v>5500000</v>
      </c>
      <c r="K420" s="2">
        <v>55000000</v>
      </c>
      <c r="L420" s="3">
        <v>0</v>
      </c>
      <c r="M420" t="s">
        <v>19</v>
      </c>
      <c r="N420" t="s">
        <v>886</v>
      </c>
    </row>
    <row r="421" spans="1:14" x14ac:dyDescent="0.25">
      <c r="A421" t="s">
        <v>887</v>
      </c>
      <c r="B421" s="10">
        <v>46103</v>
      </c>
      <c r="C421" t="str">
        <f t="shared" si="7"/>
        <v>March</v>
      </c>
      <c r="D421" t="s">
        <v>92</v>
      </c>
      <c r="E421" t="s">
        <v>93</v>
      </c>
      <c r="F421" t="s">
        <v>16</v>
      </c>
      <c r="G421" t="s">
        <v>29</v>
      </c>
      <c r="H421" t="s">
        <v>30</v>
      </c>
      <c r="I421" s="2">
        <v>10</v>
      </c>
      <c r="J421" s="2">
        <v>1500000</v>
      </c>
      <c r="K421" s="2">
        <v>15000000</v>
      </c>
      <c r="L421" s="3">
        <v>0.05</v>
      </c>
      <c r="M421" t="s">
        <v>51</v>
      </c>
      <c r="N421" t="s">
        <v>888</v>
      </c>
    </row>
    <row r="422" spans="1:14" x14ac:dyDescent="0.25">
      <c r="A422" t="s">
        <v>889</v>
      </c>
      <c r="B422" s="10">
        <v>46124</v>
      </c>
      <c r="C422" t="str">
        <f t="shared" si="7"/>
        <v>April</v>
      </c>
      <c r="D422" t="s">
        <v>14</v>
      </c>
      <c r="E422" t="s">
        <v>15</v>
      </c>
      <c r="F422" t="s">
        <v>16</v>
      </c>
      <c r="G422" t="s">
        <v>65</v>
      </c>
      <c r="H422" t="s">
        <v>66</v>
      </c>
      <c r="I422" s="2">
        <v>3</v>
      </c>
      <c r="J422" s="2">
        <v>3500000</v>
      </c>
      <c r="K422" s="2">
        <v>10500000</v>
      </c>
      <c r="L422" s="3">
        <v>0.05</v>
      </c>
      <c r="M422" t="s">
        <v>31</v>
      </c>
      <c r="N422" t="s">
        <v>890</v>
      </c>
    </row>
    <row r="423" spans="1:14" x14ac:dyDescent="0.25">
      <c r="A423" t="s">
        <v>891</v>
      </c>
      <c r="B423" s="10">
        <v>46240</v>
      </c>
      <c r="C423" t="str">
        <f t="shared" si="7"/>
        <v>August</v>
      </c>
      <c r="D423" t="s">
        <v>34</v>
      </c>
      <c r="E423" t="s">
        <v>35</v>
      </c>
      <c r="F423" t="s">
        <v>36</v>
      </c>
      <c r="G423" t="s">
        <v>22</v>
      </c>
      <c r="H423" t="s">
        <v>23</v>
      </c>
      <c r="I423" s="2">
        <v>6</v>
      </c>
      <c r="J423" s="2">
        <v>2000000</v>
      </c>
      <c r="K423" s="2">
        <v>12000000</v>
      </c>
      <c r="L423" s="3">
        <v>0.15</v>
      </c>
      <c r="M423" t="s">
        <v>51</v>
      </c>
      <c r="N423" t="s">
        <v>892</v>
      </c>
    </row>
    <row r="424" spans="1:14" x14ac:dyDescent="0.25">
      <c r="A424" t="s">
        <v>893</v>
      </c>
      <c r="B424" s="10">
        <v>46225</v>
      </c>
      <c r="C424" t="str">
        <f t="shared" si="7"/>
        <v>July</v>
      </c>
      <c r="D424" t="s">
        <v>14</v>
      </c>
      <c r="E424" t="s">
        <v>15</v>
      </c>
      <c r="F424" t="s">
        <v>16</v>
      </c>
      <c r="G424" t="s">
        <v>22</v>
      </c>
      <c r="H424" t="s">
        <v>23</v>
      </c>
      <c r="I424" s="2">
        <v>12</v>
      </c>
      <c r="J424" s="2">
        <v>3500000</v>
      </c>
      <c r="K424" s="2">
        <v>42000000</v>
      </c>
      <c r="L424" s="3">
        <v>0.1</v>
      </c>
      <c r="M424" t="s">
        <v>19</v>
      </c>
      <c r="N424" t="s">
        <v>894</v>
      </c>
    </row>
    <row r="425" spans="1:14" x14ac:dyDescent="0.25">
      <c r="A425" t="s">
        <v>895</v>
      </c>
      <c r="B425" s="10">
        <v>46134</v>
      </c>
      <c r="C425" t="str">
        <f t="shared" si="7"/>
        <v>April</v>
      </c>
      <c r="D425" t="s">
        <v>26</v>
      </c>
      <c r="E425" t="s">
        <v>27</v>
      </c>
      <c r="F425" t="s">
        <v>28</v>
      </c>
      <c r="G425" t="s">
        <v>17</v>
      </c>
      <c r="H425" t="s">
        <v>18</v>
      </c>
      <c r="I425" s="2">
        <v>6</v>
      </c>
      <c r="J425" s="2">
        <v>2500000</v>
      </c>
      <c r="K425" s="2">
        <v>15000000</v>
      </c>
      <c r="L425" s="3">
        <v>0.15</v>
      </c>
      <c r="M425" t="s">
        <v>19</v>
      </c>
      <c r="N425" t="s">
        <v>896</v>
      </c>
    </row>
    <row r="426" spans="1:14" x14ac:dyDescent="0.25">
      <c r="A426" t="s">
        <v>897</v>
      </c>
      <c r="B426" s="10">
        <v>46185</v>
      </c>
      <c r="C426" t="str">
        <f t="shared" si="7"/>
        <v>June</v>
      </c>
      <c r="D426" t="s">
        <v>58</v>
      </c>
      <c r="E426" t="s">
        <v>59</v>
      </c>
      <c r="F426" t="s">
        <v>28</v>
      </c>
      <c r="G426" t="s">
        <v>42</v>
      </c>
      <c r="H426" t="s">
        <v>43</v>
      </c>
      <c r="I426" s="2">
        <v>8</v>
      </c>
      <c r="J426" s="2">
        <v>5500000</v>
      </c>
      <c r="K426" s="2">
        <v>44000000</v>
      </c>
      <c r="L426" s="3">
        <v>0.05</v>
      </c>
      <c r="M426" t="s">
        <v>19</v>
      </c>
      <c r="N426" t="s">
        <v>898</v>
      </c>
    </row>
    <row r="427" spans="1:14" x14ac:dyDescent="0.25">
      <c r="A427" t="s">
        <v>899</v>
      </c>
      <c r="B427" s="10">
        <v>46119</v>
      </c>
      <c r="C427" t="str">
        <f t="shared" si="7"/>
        <v>April</v>
      </c>
      <c r="D427" t="s">
        <v>34</v>
      </c>
      <c r="E427" t="s">
        <v>35</v>
      </c>
      <c r="F427" t="s">
        <v>36</v>
      </c>
      <c r="G427" t="s">
        <v>29</v>
      </c>
      <c r="H427" t="s">
        <v>30</v>
      </c>
      <c r="I427" s="2">
        <v>11</v>
      </c>
      <c r="J427" s="2">
        <v>2000000</v>
      </c>
      <c r="K427" s="2">
        <v>22000000</v>
      </c>
      <c r="L427" s="3">
        <v>0.15</v>
      </c>
      <c r="M427" t="s">
        <v>19</v>
      </c>
      <c r="N427" t="s">
        <v>900</v>
      </c>
    </row>
    <row r="428" spans="1:14" x14ac:dyDescent="0.25">
      <c r="A428" t="s">
        <v>901</v>
      </c>
      <c r="B428" s="10">
        <v>46181</v>
      </c>
      <c r="C428" t="str">
        <f t="shared" si="7"/>
        <v>June</v>
      </c>
      <c r="D428" t="s">
        <v>58</v>
      </c>
      <c r="E428" t="s">
        <v>59</v>
      </c>
      <c r="F428" t="s">
        <v>28</v>
      </c>
      <c r="G428" t="s">
        <v>29</v>
      </c>
      <c r="H428" t="s">
        <v>30</v>
      </c>
      <c r="I428" s="2">
        <v>12</v>
      </c>
      <c r="J428" s="2">
        <v>5500000</v>
      </c>
      <c r="K428" s="2">
        <v>66000000</v>
      </c>
      <c r="L428" s="3">
        <v>0</v>
      </c>
      <c r="M428" t="s">
        <v>19</v>
      </c>
      <c r="N428" t="s">
        <v>902</v>
      </c>
    </row>
    <row r="429" spans="1:14" x14ac:dyDescent="0.25">
      <c r="A429" t="s">
        <v>903</v>
      </c>
      <c r="B429" s="10">
        <v>46062</v>
      </c>
      <c r="C429" t="str">
        <f t="shared" si="7"/>
        <v>February</v>
      </c>
      <c r="D429" t="s">
        <v>34</v>
      </c>
      <c r="E429" t="s">
        <v>35</v>
      </c>
      <c r="F429" t="s">
        <v>36</v>
      </c>
      <c r="G429" t="s">
        <v>29</v>
      </c>
      <c r="H429" t="s">
        <v>30</v>
      </c>
      <c r="I429" s="2">
        <v>12</v>
      </c>
      <c r="J429" s="2">
        <v>2000000</v>
      </c>
      <c r="K429" s="2">
        <v>24000000</v>
      </c>
      <c r="L429" s="3">
        <v>0.15</v>
      </c>
      <c r="M429" t="s">
        <v>19</v>
      </c>
      <c r="N429" t="s">
        <v>904</v>
      </c>
    </row>
    <row r="430" spans="1:14" x14ac:dyDescent="0.25">
      <c r="A430" t="s">
        <v>905</v>
      </c>
      <c r="B430" s="10">
        <v>46050</v>
      </c>
      <c r="C430" t="str">
        <f t="shared" si="7"/>
        <v>January</v>
      </c>
      <c r="D430" t="s">
        <v>14</v>
      </c>
      <c r="E430" t="s">
        <v>15</v>
      </c>
      <c r="F430" t="s">
        <v>16</v>
      </c>
      <c r="G430" t="s">
        <v>17</v>
      </c>
      <c r="H430" t="s">
        <v>18</v>
      </c>
      <c r="I430" s="2">
        <v>5</v>
      </c>
      <c r="J430" s="2">
        <v>3500000</v>
      </c>
      <c r="K430" s="2">
        <v>17500000</v>
      </c>
      <c r="L430" s="3">
        <v>0.15</v>
      </c>
      <c r="M430" t="s">
        <v>19</v>
      </c>
      <c r="N430" t="s">
        <v>906</v>
      </c>
    </row>
    <row r="431" spans="1:14" x14ac:dyDescent="0.25">
      <c r="A431" t="s">
        <v>907</v>
      </c>
      <c r="B431" s="10">
        <v>46092</v>
      </c>
      <c r="C431" t="str">
        <f t="shared" si="7"/>
        <v>March</v>
      </c>
      <c r="D431" t="s">
        <v>14</v>
      </c>
      <c r="E431" t="s">
        <v>15</v>
      </c>
      <c r="F431" t="s">
        <v>16</v>
      </c>
      <c r="G431" t="s">
        <v>29</v>
      </c>
      <c r="H431" t="s">
        <v>30</v>
      </c>
      <c r="I431" s="2">
        <v>2</v>
      </c>
      <c r="J431" s="2">
        <v>3500000</v>
      </c>
      <c r="K431" s="2">
        <v>7000000</v>
      </c>
      <c r="L431" s="3">
        <v>0.05</v>
      </c>
      <c r="M431" t="s">
        <v>77</v>
      </c>
      <c r="N431" t="s">
        <v>908</v>
      </c>
    </row>
    <row r="432" spans="1:14" x14ac:dyDescent="0.25">
      <c r="A432" t="s">
        <v>909</v>
      </c>
      <c r="B432" s="10">
        <v>46165</v>
      </c>
      <c r="C432" t="str">
        <f t="shared" si="7"/>
        <v>May</v>
      </c>
      <c r="D432" t="s">
        <v>34</v>
      </c>
      <c r="E432" t="s">
        <v>35</v>
      </c>
      <c r="F432" t="s">
        <v>36</v>
      </c>
      <c r="G432" t="s">
        <v>17</v>
      </c>
      <c r="H432" t="s">
        <v>18</v>
      </c>
      <c r="I432" s="2">
        <v>1</v>
      </c>
      <c r="J432" s="2">
        <v>2000000</v>
      </c>
      <c r="K432" s="2">
        <v>2000000</v>
      </c>
      <c r="L432" s="3">
        <v>0</v>
      </c>
      <c r="M432" t="s">
        <v>19</v>
      </c>
      <c r="N432" t="s">
        <v>910</v>
      </c>
    </row>
    <row r="433" spans="1:14" x14ac:dyDescent="0.25">
      <c r="A433" t="s">
        <v>911</v>
      </c>
      <c r="B433" s="10">
        <v>46046</v>
      </c>
      <c r="C433" t="str">
        <f t="shared" si="7"/>
        <v>January</v>
      </c>
      <c r="D433" t="s">
        <v>46</v>
      </c>
      <c r="E433" t="s">
        <v>47</v>
      </c>
      <c r="F433" t="s">
        <v>48</v>
      </c>
      <c r="G433" t="s">
        <v>42</v>
      </c>
      <c r="H433" t="s">
        <v>43</v>
      </c>
      <c r="I433" s="2">
        <v>1</v>
      </c>
      <c r="J433" s="2">
        <v>750000</v>
      </c>
      <c r="K433" s="2">
        <v>750000</v>
      </c>
      <c r="L433" s="3">
        <v>0.1</v>
      </c>
      <c r="M433" t="s">
        <v>77</v>
      </c>
      <c r="N433" t="s">
        <v>912</v>
      </c>
    </row>
    <row r="434" spans="1:14" x14ac:dyDescent="0.25">
      <c r="A434" t="s">
        <v>913</v>
      </c>
      <c r="B434" s="10">
        <v>46222</v>
      </c>
      <c r="C434" t="str">
        <f t="shared" si="7"/>
        <v>July</v>
      </c>
      <c r="D434" t="s">
        <v>14</v>
      </c>
      <c r="E434" t="s">
        <v>15</v>
      </c>
      <c r="F434" t="s">
        <v>16</v>
      </c>
      <c r="G434" t="s">
        <v>22</v>
      </c>
      <c r="H434" t="s">
        <v>23</v>
      </c>
      <c r="I434" s="2">
        <v>15</v>
      </c>
      <c r="J434" s="2">
        <v>3500000</v>
      </c>
      <c r="K434" s="2">
        <v>52500000</v>
      </c>
      <c r="L434" s="3">
        <v>0.05</v>
      </c>
      <c r="M434" t="s">
        <v>31</v>
      </c>
      <c r="N434" t="s">
        <v>914</v>
      </c>
    </row>
    <row r="435" spans="1:14" x14ac:dyDescent="0.25">
      <c r="A435" t="s">
        <v>915</v>
      </c>
      <c r="B435" s="10">
        <v>46066</v>
      </c>
      <c r="C435" t="str">
        <f t="shared" si="7"/>
        <v>February</v>
      </c>
      <c r="D435" t="s">
        <v>34</v>
      </c>
      <c r="E435" t="s">
        <v>35</v>
      </c>
      <c r="F435" t="s">
        <v>36</v>
      </c>
      <c r="G435" t="s">
        <v>29</v>
      </c>
      <c r="H435" t="s">
        <v>30</v>
      </c>
      <c r="I435" s="2">
        <v>3</v>
      </c>
      <c r="J435" s="2">
        <v>2000000</v>
      </c>
      <c r="K435" s="2">
        <v>6000000</v>
      </c>
      <c r="L435" s="3">
        <v>0.1</v>
      </c>
      <c r="M435" t="s">
        <v>19</v>
      </c>
      <c r="N435" t="s">
        <v>916</v>
      </c>
    </row>
    <row r="436" spans="1:14" x14ac:dyDescent="0.25">
      <c r="A436" t="s">
        <v>917</v>
      </c>
      <c r="B436" s="10">
        <v>46149</v>
      </c>
      <c r="C436" t="str">
        <f t="shared" si="7"/>
        <v>May</v>
      </c>
      <c r="D436" t="s">
        <v>39</v>
      </c>
      <c r="E436" t="s">
        <v>40</v>
      </c>
      <c r="F436" t="s">
        <v>41</v>
      </c>
      <c r="G436" t="s">
        <v>17</v>
      </c>
      <c r="H436" t="s">
        <v>18</v>
      </c>
      <c r="I436" s="2">
        <v>3</v>
      </c>
      <c r="J436" s="2">
        <v>12000000</v>
      </c>
      <c r="K436" s="2">
        <v>36000000</v>
      </c>
      <c r="L436" s="3">
        <v>0.15</v>
      </c>
      <c r="M436" t="s">
        <v>19</v>
      </c>
      <c r="N436" t="s">
        <v>918</v>
      </c>
    </row>
    <row r="437" spans="1:14" x14ac:dyDescent="0.25">
      <c r="A437" t="s">
        <v>919</v>
      </c>
      <c r="B437" s="10">
        <v>46099</v>
      </c>
      <c r="C437" t="str">
        <f t="shared" si="7"/>
        <v>March</v>
      </c>
      <c r="D437" t="s">
        <v>62</v>
      </c>
      <c r="E437" t="s">
        <v>63</v>
      </c>
      <c r="F437" t="s">
        <v>64</v>
      </c>
      <c r="G437" t="s">
        <v>17</v>
      </c>
      <c r="H437" t="s">
        <v>18</v>
      </c>
      <c r="I437" s="2">
        <v>6</v>
      </c>
      <c r="J437" s="2">
        <v>4000000</v>
      </c>
      <c r="K437" s="2">
        <v>24000000</v>
      </c>
      <c r="L437" s="3">
        <v>0.1</v>
      </c>
      <c r="M437" t="s">
        <v>19</v>
      </c>
      <c r="N437" t="s">
        <v>920</v>
      </c>
    </row>
    <row r="438" spans="1:14" x14ac:dyDescent="0.25">
      <c r="A438" t="s">
        <v>921</v>
      </c>
      <c r="B438" s="10">
        <v>46183</v>
      </c>
      <c r="C438" t="str">
        <f t="shared" si="7"/>
        <v>June</v>
      </c>
      <c r="D438" t="s">
        <v>62</v>
      </c>
      <c r="E438" t="s">
        <v>63</v>
      </c>
      <c r="F438" t="s">
        <v>64</v>
      </c>
      <c r="G438" t="s">
        <v>22</v>
      </c>
      <c r="H438" t="s">
        <v>23</v>
      </c>
      <c r="I438" s="2">
        <v>10</v>
      </c>
      <c r="J438" s="2">
        <v>4000000</v>
      </c>
      <c r="K438" s="2">
        <v>40000000</v>
      </c>
      <c r="L438" s="3">
        <v>0.05</v>
      </c>
      <c r="M438" t="s">
        <v>77</v>
      </c>
      <c r="N438" t="s">
        <v>922</v>
      </c>
    </row>
    <row r="439" spans="1:14" x14ac:dyDescent="0.25">
      <c r="A439" t="s">
        <v>923</v>
      </c>
      <c r="B439" s="10">
        <v>46057</v>
      </c>
      <c r="C439" t="str">
        <f t="shared" si="7"/>
        <v>February</v>
      </c>
      <c r="D439" t="s">
        <v>58</v>
      </c>
      <c r="E439" t="s">
        <v>59</v>
      </c>
      <c r="F439" t="s">
        <v>28</v>
      </c>
      <c r="G439" t="s">
        <v>17</v>
      </c>
      <c r="H439" t="s">
        <v>18</v>
      </c>
      <c r="I439" s="2">
        <v>7</v>
      </c>
      <c r="J439" s="2">
        <v>5500000</v>
      </c>
      <c r="K439" s="2">
        <v>38500000</v>
      </c>
      <c r="L439" s="3">
        <v>0.1</v>
      </c>
      <c r="M439" t="s">
        <v>31</v>
      </c>
      <c r="N439" t="s">
        <v>924</v>
      </c>
    </row>
    <row r="440" spans="1:14" x14ac:dyDescent="0.25">
      <c r="A440" t="s">
        <v>925</v>
      </c>
      <c r="B440" s="10">
        <v>46228</v>
      </c>
      <c r="C440" t="str">
        <f t="shared" si="7"/>
        <v>July</v>
      </c>
      <c r="D440" t="s">
        <v>46</v>
      </c>
      <c r="E440" t="s">
        <v>47</v>
      </c>
      <c r="F440" t="s">
        <v>48</v>
      </c>
      <c r="G440" t="s">
        <v>42</v>
      </c>
      <c r="H440" t="s">
        <v>43</v>
      </c>
      <c r="I440" s="2">
        <v>6</v>
      </c>
      <c r="J440" s="2">
        <v>750000</v>
      </c>
      <c r="K440" s="2">
        <v>4500000</v>
      </c>
      <c r="L440" s="3">
        <v>0.15</v>
      </c>
      <c r="M440" t="s">
        <v>51</v>
      </c>
      <c r="N440" t="s">
        <v>926</v>
      </c>
    </row>
    <row r="441" spans="1:14" x14ac:dyDescent="0.25">
      <c r="A441" t="s">
        <v>927</v>
      </c>
      <c r="B441" s="10">
        <v>46057</v>
      </c>
      <c r="C441" t="str">
        <f t="shared" si="7"/>
        <v>February</v>
      </c>
      <c r="D441" t="s">
        <v>58</v>
      </c>
      <c r="E441" t="s">
        <v>59</v>
      </c>
      <c r="F441" t="s">
        <v>28</v>
      </c>
      <c r="G441" t="s">
        <v>65</v>
      </c>
      <c r="H441" t="s">
        <v>66</v>
      </c>
      <c r="I441" s="2">
        <v>10</v>
      </c>
      <c r="J441" s="2">
        <v>5500000</v>
      </c>
      <c r="K441" s="2">
        <v>55000000</v>
      </c>
      <c r="L441" s="3">
        <v>0.05</v>
      </c>
      <c r="M441" t="s">
        <v>77</v>
      </c>
      <c r="N441" t="s">
        <v>928</v>
      </c>
    </row>
    <row r="442" spans="1:14" x14ac:dyDescent="0.25">
      <c r="A442" t="s">
        <v>929</v>
      </c>
      <c r="B442" s="10">
        <v>46068</v>
      </c>
      <c r="C442" t="str">
        <f t="shared" si="7"/>
        <v>February</v>
      </c>
      <c r="D442" t="s">
        <v>34</v>
      </c>
      <c r="E442" t="s">
        <v>35</v>
      </c>
      <c r="F442" t="s">
        <v>36</v>
      </c>
      <c r="G442" t="s">
        <v>65</v>
      </c>
      <c r="H442" t="s">
        <v>66</v>
      </c>
      <c r="I442" s="2">
        <v>5</v>
      </c>
      <c r="J442" s="2">
        <v>2000000</v>
      </c>
      <c r="K442" s="2">
        <v>10000000</v>
      </c>
      <c r="L442" s="3">
        <v>0.15</v>
      </c>
      <c r="M442" t="s">
        <v>31</v>
      </c>
      <c r="N442" t="s">
        <v>930</v>
      </c>
    </row>
    <row r="443" spans="1:14" x14ac:dyDescent="0.25">
      <c r="A443" t="s">
        <v>931</v>
      </c>
      <c r="B443" s="10">
        <v>46085</v>
      </c>
      <c r="C443" t="str">
        <f t="shared" si="7"/>
        <v>March</v>
      </c>
      <c r="D443" t="s">
        <v>46</v>
      </c>
      <c r="E443" t="s">
        <v>47</v>
      </c>
      <c r="F443" t="s">
        <v>48</v>
      </c>
      <c r="G443" t="s">
        <v>42</v>
      </c>
      <c r="H443" t="s">
        <v>43</v>
      </c>
      <c r="I443" s="2">
        <v>5</v>
      </c>
      <c r="J443" s="2">
        <v>750000</v>
      </c>
      <c r="K443" s="2">
        <v>3750000</v>
      </c>
      <c r="L443" s="3">
        <v>0.15</v>
      </c>
      <c r="M443" t="s">
        <v>19</v>
      </c>
      <c r="N443" t="s">
        <v>932</v>
      </c>
    </row>
    <row r="444" spans="1:14" x14ac:dyDescent="0.25">
      <c r="A444" t="s">
        <v>933</v>
      </c>
      <c r="B444" s="10">
        <v>46167</v>
      </c>
      <c r="C444" t="str">
        <f t="shared" si="7"/>
        <v>May</v>
      </c>
      <c r="D444" t="s">
        <v>26</v>
      </c>
      <c r="E444" t="s">
        <v>27</v>
      </c>
      <c r="F444" t="s">
        <v>28</v>
      </c>
      <c r="G444" t="s">
        <v>22</v>
      </c>
      <c r="H444" t="s">
        <v>23</v>
      </c>
      <c r="I444" s="2">
        <v>9</v>
      </c>
      <c r="J444" s="2">
        <v>2500000</v>
      </c>
      <c r="K444" s="2">
        <v>22500000</v>
      </c>
      <c r="L444" s="3">
        <v>0.05</v>
      </c>
      <c r="M444" t="s">
        <v>51</v>
      </c>
      <c r="N444" t="s">
        <v>934</v>
      </c>
    </row>
    <row r="445" spans="1:14" x14ac:dyDescent="0.25">
      <c r="A445" t="s">
        <v>935</v>
      </c>
      <c r="B445" s="10">
        <v>46163</v>
      </c>
      <c r="C445" t="str">
        <f t="shared" si="7"/>
        <v>May</v>
      </c>
      <c r="D445" t="s">
        <v>92</v>
      </c>
      <c r="E445" t="s">
        <v>93</v>
      </c>
      <c r="F445" t="s">
        <v>16</v>
      </c>
      <c r="G445" t="s">
        <v>42</v>
      </c>
      <c r="H445" t="s">
        <v>43</v>
      </c>
      <c r="I445" s="2">
        <v>12</v>
      </c>
      <c r="J445" s="2">
        <v>1500000</v>
      </c>
      <c r="K445" s="2">
        <v>18000000</v>
      </c>
      <c r="L445" s="3">
        <v>0.05</v>
      </c>
      <c r="M445" t="s">
        <v>77</v>
      </c>
      <c r="N445" t="s">
        <v>936</v>
      </c>
    </row>
    <row r="446" spans="1:14" x14ac:dyDescent="0.25">
      <c r="A446" t="s">
        <v>937</v>
      </c>
      <c r="B446" s="10">
        <v>46097</v>
      </c>
      <c r="C446" t="str">
        <f t="shared" si="7"/>
        <v>March</v>
      </c>
      <c r="D446" t="s">
        <v>14</v>
      </c>
      <c r="E446" t="s">
        <v>15</v>
      </c>
      <c r="F446" t="s">
        <v>16</v>
      </c>
      <c r="G446" t="s">
        <v>42</v>
      </c>
      <c r="H446" t="s">
        <v>43</v>
      </c>
      <c r="I446" s="2">
        <v>11</v>
      </c>
      <c r="J446" s="2">
        <v>3500000</v>
      </c>
      <c r="K446" s="2">
        <v>38500000</v>
      </c>
      <c r="L446" s="3">
        <v>0.15</v>
      </c>
      <c r="M446" t="s">
        <v>19</v>
      </c>
      <c r="N446" t="s">
        <v>938</v>
      </c>
    </row>
    <row r="447" spans="1:14" x14ac:dyDescent="0.25">
      <c r="A447" t="s">
        <v>939</v>
      </c>
      <c r="B447" s="10">
        <v>46100</v>
      </c>
      <c r="C447" t="str">
        <f t="shared" si="7"/>
        <v>March</v>
      </c>
      <c r="D447" t="s">
        <v>26</v>
      </c>
      <c r="E447" t="s">
        <v>27</v>
      </c>
      <c r="F447" t="s">
        <v>28</v>
      </c>
      <c r="G447" t="s">
        <v>65</v>
      </c>
      <c r="H447" t="s">
        <v>66</v>
      </c>
      <c r="I447" s="2">
        <v>11</v>
      </c>
      <c r="J447" s="2">
        <v>2500000</v>
      </c>
      <c r="K447" s="2">
        <v>27500000</v>
      </c>
      <c r="L447" s="3">
        <v>0.05</v>
      </c>
      <c r="M447" t="s">
        <v>51</v>
      </c>
      <c r="N447" t="s">
        <v>940</v>
      </c>
    </row>
    <row r="448" spans="1:14" x14ac:dyDescent="0.25">
      <c r="A448" t="s">
        <v>941</v>
      </c>
      <c r="B448" s="10">
        <v>46225</v>
      </c>
      <c r="C448" t="str">
        <f t="shared" si="7"/>
        <v>July</v>
      </c>
      <c r="D448" t="s">
        <v>34</v>
      </c>
      <c r="E448" t="s">
        <v>35</v>
      </c>
      <c r="F448" t="s">
        <v>36</v>
      </c>
      <c r="G448" t="s">
        <v>17</v>
      </c>
      <c r="H448" t="s">
        <v>18</v>
      </c>
      <c r="I448" s="2">
        <v>8</v>
      </c>
      <c r="J448" s="2">
        <v>2000000</v>
      </c>
      <c r="K448" s="2">
        <v>16000000</v>
      </c>
      <c r="L448" s="3">
        <v>0.15</v>
      </c>
      <c r="M448" t="s">
        <v>31</v>
      </c>
      <c r="N448" t="s">
        <v>942</v>
      </c>
    </row>
    <row r="449" spans="1:14" x14ac:dyDescent="0.25">
      <c r="A449" t="s">
        <v>943</v>
      </c>
      <c r="B449" s="10">
        <v>46159</v>
      </c>
      <c r="C449" t="str">
        <f t="shared" si="7"/>
        <v>May</v>
      </c>
      <c r="D449" t="s">
        <v>34</v>
      </c>
      <c r="E449" t="s">
        <v>35</v>
      </c>
      <c r="F449" t="s">
        <v>36</v>
      </c>
      <c r="G449" t="s">
        <v>22</v>
      </c>
      <c r="H449" t="s">
        <v>23</v>
      </c>
      <c r="I449" s="2">
        <v>1</v>
      </c>
      <c r="J449" s="2">
        <v>2000000</v>
      </c>
      <c r="K449" s="2">
        <v>2000000</v>
      </c>
      <c r="L449" s="3">
        <v>0.1</v>
      </c>
      <c r="M449" t="s">
        <v>51</v>
      </c>
      <c r="N449" t="s">
        <v>944</v>
      </c>
    </row>
    <row r="450" spans="1:14" x14ac:dyDescent="0.25">
      <c r="A450" t="s">
        <v>945</v>
      </c>
      <c r="B450" s="10">
        <v>46160</v>
      </c>
      <c r="C450" t="str">
        <f t="shared" si="7"/>
        <v>May</v>
      </c>
      <c r="D450" t="s">
        <v>14</v>
      </c>
      <c r="E450" t="s">
        <v>15</v>
      </c>
      <c r="F450" t="s">
        <v>16</v>
      </c>
      <c r="G450" t="s">
        <v>17</v>
      </c>
      <c r="H450" t="s">
        <v>18</v>
      </c>
      <c r="I450" s="2">
        <v>13</v>
      </c>
      <c r="J450" s="2">
        <v>3500000</v>
      </c>
      <c r="K450" s="2">
        <v>45500000</v>
      </c>
      <c r="L450" s="3">
        <v>0.05</v>
      </c>
      <c r="M450" t="s">
        <v>51</v>
      </c>
      <c r="N450" t="s">
        <v>946</v>
      </c>
    </row>
    <row r="451" spans="1:14" x14ac:dyDescent="0.25">
      <c r="A451" t="s">
        <v>947</v>
      </c>
      <c r="B451" s="10">
        <v>46113</v>
      </c>
      <c r="C451" t="str">
        <f t="shared" ref="C451:C514" si="8">TEXT(B451, "MMMM")</f>
        <v>April</v>
      </c>
      <c r="D451" t="s">
        <v>39</v>
      </c>
      <c r="E451" t="s">
        <v>40</v>
      </c>
      <c r="F451" t="s">
        <v>41</v>
      </c>
      <c r="G451" t="s">
        <v>22</v>
      </c>
      <c r="H451" t="s">
        <v>23</v>
      </c>
      <c r="I451" s="2">
        <v>1</v>
      </c>
      <c r="J451" s="2">
        <v>12000000</v>
      </c>
      <c r="K451" s="2">
        <v>12000000</v>
      </c>
      <c r="L451" s="3">
        <v>0.15</v>
      </c>
      <c r="M451" t="s">
        <v>19</v>
      </c>
      <c r="N451" t="s">
        <v>948</v>
      </c>
    </row>
    <row r="452" spans="1:14" x14ac:dyDescent="0.25">
      <c r="A452" t="s">
        <v>949</v>
      </c>
      <c r="B452" s="10">
        <v>46133</v>
      </c>
      <c r="C452" t="str">
        <f t="shared" si="8"/>
        <v>April</v>
      </c>
      <c r="D452" t="s">
        <v>14</v>
      </c>
      <c r="E452" t="s">
        <v>15</v>
      </c>
      <c r="F452" t="s">
        <v>16</v>
      </c>
      <c r="G452" t="s">
        <v>17</v>
      </c>
      <c r="H452" t="s">
        <v>18</v>
      </c>
      <c r="I452" s="2">
        <v>2</v>
      </c>
      <c r="J452" s="2">
        <v>3500000</v>
      </c>
      <c r="K452" s="2">
        <v>7000000</v>
      </c>
      <c r="L452" s="3">
        <v>0.1</v>
      </c>
      <c r="M452" t="s">
        <v>19</v>
      </c>
      <c r="N452" t="s">
        <v>950</v>
      </c>
    </row>
    <row r="453" spans="1:14" x14ac:dyDescent="0.25">
      <c r="A453" t="s">
        <v>951</v>
      </c>
      <c r="B453" s="10">
        <v>46214</v>
      </c>
      <c r="C453" t="str">
        <f t="shared" si="8"/>
        <v>July</v>
      </c>
      <c r="D453" t="s">
        <v>26</v>
      </c>
      <c r="E453" t="s">
        <v>27</v>
      </c>
      <c r="F453" t="s">
        <v>28</v>
      </c>
      <c r="G453" t="s">
        <v>42</v>
      </c>
      <c r="H453" t="s">
        <v>43</v>
      </c>
      <c r="I453" s="2">
        <v>6</v>
      </c>
      <c r="J453" s="2">
        <v>2500000</v>
      </c>
      <c r="K453" s="2">
        <v>15000000</v>
      </c>
      <c r="L453" s="3">
        <v>0.15</v>
      </c>
      <c r="M453" t="s">
        <v>77</v>
      </c>
      <c r="N453" t="s">
        <v>952</v>
      </c>
    </row>
    <row r="454" spans="1:14" x14ac:dyDescent="0.25">
      <c r="A454" t="s">
        <v>953</v>
      </c>
      <c r="B454" s="10">
        <v>46196</v>
      </c>
      <c r="C454" t="str">
        <f t="shared" si="8"/>
        <v>June</v>
      </c>
      <c r="D454" t="s">
        <v>39</v>
      </c>
      <c r="E454" t="s">
        <v>40</v>
      </c>
      <c r="F454" t="s">
        <v>41</v>
      </c>
      <c r="G454" t="s">
        <v>65</v>
      </c>
      <c r="H454" t="s">
        <v>66</v>
      </c>
      <c r="I454" s="2">
        <v>1</v>
      </c>
      <c r="J454" s="2">
        <v>12000000</v>
      </c>
      <c r="K454" s="2">
        <v>12000000</v>
      </c>
      <c r="L454" s="3">
        <v>0.15</v>
      </c>
      <c r="M454" t="s">
        <v>19</v>
      </c>
      <c r="N454" t="s">
        <v>954</v>
      </c>
    </row>
    <row r="455" spans="1:14" x14ac:dyDescent="0.25">
      <c r="A455" t="s">
        <v>955</v>
      </c>
      <c r="B455" s="10">
        <v>46129</v>
      </c>
      <c r="C455" t="str">
        <f t="shared" si="8"/>
        <v>April</v>
      </c>
      <c r="D455" t="s">
        <v>14</v>
      </c>
      <c r="E455" t="s">
        <v>15</v>
      </c>
      <c r="F455" t="s">
        <v>16</v>
      </c>
      <c r="G455" t="s">
        <v>17</v>
      </c>
      <c r="H455" t="s">
        <v>18</v>
      </c>
      <c r="I455" s="2">
        <v>14</v>
      </c>
      <c r="J455" s="2">
        <v>3500000</v>
      </c>
      <c r="K455" s="2">
        <v>49000000</v>
      </c>
      <c r="L455" s="3">
        <v>0.05</v>
      </c>
      <c r="M455" t="s">
        <v>19</v>
      </c>
      <c r="N455" t="s">
        <v>956</v>
      </c>
    </row>
    <row r="456" spans="1:14" x14ac:dyDescent="0.25">
      <c r="A456" t="s">
        <v>957</v>
      </c>
      <c r="B456" s="10">
        <v>46110</v>
      </c>
      <c r="C456" t="str">
        <f t="shared" si="8"/>
        <v>March</v>
      </c>
      <c r="D456" t="s">
        <v>62</v>
      </c>
      <c r="E456" t="s">
        <v>63</v>
      </c>
      <c r="F456" t="s">
        <v>64</v>
      </c>
      <c r="G456" t="s">
        <v>29</v>
      </c>
      <c r="H456" t="s">
        <v>30</v>
      </c>
      <c r="I456" s="2">
        <v>9</v>
      </c>
      <c r="J456" s="2">
        <v>4000000</v>
      </c>
      <c r="K456" s="2">
        <v>36000000</v>
      </c>
      <c r="L456" s="3">
        <v>0.15</v>
      </c>
      <c r="M456" t="s">
        <v>19</v>
      </c>
      <c r="N456" t="s">
        <v>958</v>
      </c>
    </row>
    <row r="457" spans="1:14" x14ac:dyDescent="0.25">
      <c r="A457" t="s">
        <v>959</v>
      </c>
      <c r="B457" s="10">
        <v>46047</v>
      </c>
      <c r="C457" t="str">
        <f t="shared" si="8"/>
        <v>January</v>
      </c>
      <c r="D457" t="s">
        <v>62</v>
      </c>
      <c r="E457" t="s">
        <v>63</v>
      </c>
      <c r="F457" t="s">
        <v>64</v>
      </c>
      <c r="G457" t="s">
        <v>42</v>
      </c>
      <c r="H457" t="s">
        <v>43</v>
      </c>
      <c r="I457" s="2">
        <v>6</v>
      </c>
      <c r="J457" s="2">
        <v>4000000</v>
      </c>
      <c r="K457" s="2">
        <v>24000000</v>
      </c>
      <c r="L457" s="3">
        <v>0</v>
      </c>
      <c r="M457" t="s">
        <v>19</v>
      </c>
      <c r="N457" t="s">
        <v>960</v>
      </c>
    </row>
    <row r="458" spans="1:14" x14ac:dyDescent="0.25">
      <c r="A458" t="s">
        <v>961</v>
      </c>
      <c r="B458" s="10">
        <v>46230</v>
      </c>
      <c r="C458" t="str">
        <f t="shared" si="8"/>
        <v>July</v>
      </c>
      <c r="D458" t="s">
        <v>14</v>
      </c>
      <c r="E458" t="s">
        <v>15</v>
      </c>
      <c r="F458" t="s">
        <v>16</v>
      </c>
      <c r="G458" t="s">
        <v>17</v>
      </c>
      <c r="H458" t="s">
        <v>18</v>
      </c>
      <c r="I458" s="2">
        <v>14</v>
      </c>
      <c r="J458" s="2">
        <v>3500000</v>
      </c>
      <c r="K458" s="2">
        <v>49000000</v>
      </c>
      <c r="L458" s="3">
        <v>0.1</v>
      </c>
      <c r="M458" t="s">
        <v>51</v>
      </c>
      <c r="N458" t="s">
        <v>962</v>
      </c>
    </row>
    <row r="459" spans="1:14" x14ac:dyDescent="0.25">
      <c r="A459" t="s">
        <v>963</v>
      </c>
      <c r="B459" s="10">
        <v>46196</v>
      </c>
      <c r="C459" t="str">
        <f t="shared" si="8"/>
        <v>June</v>
      </c>
      <c r="D459" t="s">
        <v>39</v>
      </c>
      <c r="E459" t="s">
        <v>40</v>
      </c>
      <c r="F459" t="s">
        <v>41</v>
      </c>
      <c r="G459" t="s">
        <v>29</v>
      </c>
      <c r="H459" t="s">
        <v>30</v>
      </c>
      <c r="I459" s="2">
        <v>9</v>
      </c>
      <c r="J459" s="2">
        <v>12000000</v>
      </c>
      <c r="K459" s="2">
        <v>108000000</v>
      </c>
      <c r="L459" s="3">
        <v>0.05</v>
      </c>
      <c r="M459" t="s">
        <v>31</v>
      </c>
      <c r="N459" t="s">
        <v>964</v>
      </c>
    </row>
    <row r="460" spans="1:14" x14ac:dyDescent="0.25">
      <c r="A460" t="s">
        <v>965</v>
      </c>
      <c r="B460" s="10">
        <v>46107</v>
      </c>
      <c r="C460" t="str">
        <f t="shared" si="8"/>
        <v>March</v>
      </c>
      <c r="D460" t="s">
        <v>34</v>
      </c>
      <c r="E460" t="s">
        <v>35</v>
      </c>
      <c r="F460" t="s">
        <v>36</v>
      </c>
      <c r="G460" t="s">
        <v>42</v>
      </c>
      <c r="H460" t="s">
        <v>43</v>
      </c>
      <c r="I460" s="2">
        <v>4</v>
      </c>
      <c r="J460" s="2">
        <v>2000000</v>
      </c>
      <c r="K460" s="2">
        <v>8000000</v>
      </c>
      <c r="L460" s="3">
        <v>0.15</v>
      </c>
      <c r="M460" t="s">
        <v>51</v>
      </c>
      <c r="N460" t="s">
        <v>966</v>
      </c>
    </row>
    <row r="461" spans="1:14" x14ac:dyDescent="0.25">
      <c r="A461" t="s">
        <v>967</v>
      </c>
      <c r="B461" s="10">
        <v>46070</v>
      </c>
      <c r="C461" t="str">
        <f t="shared" si="8"/>
        <v>February</v>
      </c>
      <c r="D461" t="s">
        <v>34</v>
      </c>
      <c r="E461" t="s">
        <v>35</v>
      </c>
      <c r="F461" t="s">
        <v>36</v>
      </c>
      <c r="G461" t="s">
        <v>42</v>
      </c>
      <c r="H461" t="s">
        <v>43</v>
      </c>
      <c r="I461" s="2">
        <v>1</v>
      </c>
      <c r="J461" s="2">
        <v>2000000</v>
      </c>
      <c r="K461" s="2">
        <v>2000000</v>
      </c>
      <c r="L461" s="3">
        <v>0.05</v>
      </c>
      <c r="M461" t="s">
        <v>77</v>
      </c>
      <c r="N461" t="s">
        <v>968</v>
      </c>
    </row>
    <row r="462" spans="1:14" x14ac:dyDescent="0.25">
      <c r="A462" t="s">
        <v>969</v>
      </c>
      <c r="B462" s="10">
        <v>46132</v>
      </c>
      <c r="C462" t="str">
        <f t="shared" si="8"/>
        <v>April</v>
      </c>
      <c r="D462" t="s">
        <v>34</v>
      </c>
      <c r="E462" t="s">
        <v>35</v>
      </c>
      <c r="F462" t="s">
        <v>36</v>
      </c>
      <c r="G462" t="s">
        <v>17</v>
      </c>
      <c r="H462" t="s">
        <v>18</v>
      </c>
      <c r="I462" s="2">
        <v>12</v>
      </c>
      <c r="J462" s="2">
        <v>2000000</v>
      </c>
      <c r="K462" s="2">
        <v>24000000</v>
      </c>
      <c r="L462" s="3">
        <v>0.05</v>
      </c>
      <c r="M462" t="s">
        <v>19</v>
      </c>
      <c r="N462" t="s">
        <v>970</v>
      </c>
    </row>
    <row r="463" spans="1:14" x14ac:dyDescent="0.25">
      <c r="A463" t="s">
        <v>971</v>
      </c>
      <c r="B463" s="10">
        <v>46215</v>
      </c>
      <c r="C463" t="str">
        <f t="shared" si="8"/>
        <v>July</v>
      </c>
      <c r="D463" t="s">
        <v>14</v>
      </c>
      <c r="E463" t="s">
        <v>15</v>
      </c>
      <c r="F463" t="s">
        <v>16</v>
      </c>
      <c r="G463" t="s">
        <v>22</v>
      </c>
      <c r="H463" t="s">
        <v>23</v>
      </c>
      <c r="I463" s="2">
        <v>2</v>
      </c>
      <c r="J463" s="2">
        <v>3500000</v>
      </c>
      <c r="K463" s="2">
        <v>7000000</v>
      </c>
      <c r="L463" s="3">
        <v>0.05</v>
      </c>
      <c r="M463" t="s">
        <v>19</v>
      </c>
      <c r="N463" t="s">
        <v>972</v>
      </c>
    </row>
    <row r="464" spans="1:14" x14ac:dyDescent="0.25">
      <c r="A464" t="s">
        <v>973</v>
      </c>
      <c r="B464" s="10">
        <v>46073</v>
      </c>
      <c r="C464" t="str">
        <f t="shared" si="8"/>
        <v>February</v>
      </c>
      <c r="D464" t="s">
        <v>62</v>
      </c>
      <c r="E464" t="s">
        <v>63</v>
      </c>
      <c r="F464" t="s">
        <v>64</v>
      </c>
      <c r="G464" t="s">
        <v>17</v>
      </c>
      <c r="H464" t="s">
        <v>18</v>
      </c>
      <c r="I464" s="2">
        <v>5</v>
      </c>
      <c r="J464" s="2">
        <v>4000000</v>
      </c>
      <c r="K464" s="2">
        <v>20000000</v>
      </c>
      <c r="L464" s="3">
        <v>0.15</v>
      </c>
      <c r="M464" t="s">
        <v>31</v>
      </c>
      <c r="N464" t="s">
        <v>974</v>
      </c>
    </row>
    <row r="465" spans="1:14" x14ac:dyDescent="0.25">
      <c r="A465" t="s">
        <v>975</v>
      </c>
      <c r="B465" s="10">
        <v>46103</v>
      </c>
      <c r="C465" t="str">
        <f t="shared" si="8"/>
        <v>March</v>
      </c>
      <c r="D465" t="s">
        <v>34</v>
      </c>
      <c r="E465" t="s">
        <v>35</v>
      </c>
      <c r="F465" t="s">
        <v>36</v>
      </c>
      <c r="G465" t="s">
        <v>22</v>
      </c>
      <c r="H465" t="s">
        <v>23</v>
      </c>
      <c r="I465" s="2">
        <v>7</v>
      </c>
      <c r="J465" s="2">
        <v>2000000</v>
      </c>
      <c r="K465" s="2">
        <v>14000000</v>
      </c>
      <c r="L465" s="3">
        <v>0</v>
      </c>
      <c r="M465" t="s">
        <v>19</v>
      </c>
      <c r="N465" t="s">
        <v>976</v>
      </c>
    </row>
    <row r="466" spans="1:14" x14ac:dyDescent="0.25">
      <c r="A466" t="s">
        <v>977</v>
      </c>
      <c r="B466" s="10">
        <v>46239</v>
      </c>
      <c r="C466" t="str">
        <f t="shared" si="8"/>
        <v>August</v>
      </c>
      <c r="D466" t="s">
        <v>62</v>
      </c>
      <c r="E466" t="s">
        <v>63</v>
      </c>
      <c r="F466" t="s">
        <v>64</v>
      </c>
      <c r="G466" t="s">
        <v>22</v>
      </c>
      <c r="H466" t="s">
        <v>23</v>
      </c>
      <c r="I466" s="2">
        <v>3</v>
      </c>
      <c r="J466" s="2">
        <v>4000000</v>
      </c>
      <c r="K466" s="2">
        <v>12000000</v>
      </c>
      <c r="L466" s="3">
        <v>0.1</v>
      </c>
      <c r="M466" t="s">
        <v>31</v>
      </c>
      <c r="N466" t="s">
        <v>978</v>
      </c>
    </row>
    <row r="467" spans="1:14" x14ac:dyDescent="0.25">
      <c r="A467" t="s">
        <v>979</v>
      </c>
      <c r="B467" s="10">
        <v>46044</v>
      </c>
      <c r="C467" t="str">
        <f t="shared" si="8"/>
        <v>January</v>
      </c>
      <c r="D467" t="s">
        <v>39</v>
      </c>
      <c r="E467" t="s">
        <v>40</v>
      </c>
      <c r="F467" t="s">
        <v>41</v>
      </c>
      <c r="G467" t="s">
        <v>65</v>
      </c>
      <c r="H467" t="s">
        <v>66</v>
      </c>
      <c r="I467" s="2">
        <v>2</v>
      </c>
      <c r="J467" s="2">
        <v>12000000</v>
      </c>
      <c r="K467" s="2">
        <v>24000000</v>
      </c>
      <c r="L467" s="3">
        <v>0.05</v>
      </c>
      <c r="M467" t="s">
        <v>19</v>
      </c>
      <c r="N467" t="s">
        <v>980</v>
      </c>
    </row>
    <row r="468" spans="1:14" x14ac:dyDescent="0.25">
      <c r="A468" t="s">
        <v>981</v>
      </c>
      <c r="B468" s="10">
        <v>46069</v>
      </c>
      <c r="C468" t="str">
        <f t="shared" si="8"/>
        <v>February</v>
      </c>
      <c r="D468" t="s">
        <v>46</v>
      </c>
      <c r="E468" t="s">
        <v>47</v>
      </c>
      <c r="F468" t="s">
        <v>48</v>
      </c>
      <c r="G468" t="s">
        <v>29</v>
      </c>
      <c r="H468" t="s">
        <v>30</v>
      </c>
      <c r="I468" s="2">
        <v>9</v>
      </c>
      <c r="J468" s="2">
        <v>750000</v>
      </c>
      <c r="K468" s="2">
        <v>6750000</v>
      </c>
      <c r="L468" s="3">
        <v>0.15</v>
      </c>
      <c r="M468" t="s">
        <v>77</v>
      </c>
      <c r="N468" t="s">
        <v>982</v>
      </c>
    </row>
    <row r="469" spans="1:14" x14ac:dyDescent="0.25">
      <c r="A469" t="s">
        <v>983</v>
      </c>
      <c r="B469" s="10">
        <v>46058</v>
      </c>
      <c r="C469" t="str">
        <f t="shared" si="8"/>
        <v>February</v>
      </c>
      <c r="D469" t="s">
        <v>34</v>
      </c>
      <c r="E469" t="s">
        <v>35</v>
      </c>
      <c r="F469" t="s">
        <v>36</v>
      </c>
      <c r="G469" t="s">
        <v>42</v>
      </c>
      <c r="H469" t="s">
        <v>43</v>
      </c>
      <c r="I469" s="2">
        <v>3</v>
      </c>
      <c r="J469" s="2">
        <v>2000000</v>
      </c>
      <c r="K469" s="2">
        <v>6000000</v>
      </c>
      <c r="L469" s="3">
        <v>0.15</v>
      </c>
      <c r="M469" t="s">
        <v>51</v>
      </c>
      <c r="N469" t="s">
        <v>984</v>
      </c>
    </row>
    <row r="470" spans="1:14" x14ac:dyDescent="0.25">
      <c r="A470" t="s">
        <v>985</v>
      </c>
      <c r="B470" s="10">
        <v>46200</v>
      </c>
      <c r="C470" t="str">
        <f t="shared" si="8"/>
        <v>June</v>
      </c>
      <c r="D470" t="s">
        <v>39</v>
      </c>
      <c r="E470" t="s">
        <v>40</v>
      </c>
      <c r="F470" t="s">
        <v>41</v>
      </c>
      <c r="G470" t="s">
        <v>22</v>
      </c>
      <c r="H470" t="s">
        <v>23</v>
      </c>
      <c r="I470" s="2">
        <v>3</v>
      </c>
      <c r="J470" s="2">
        <v>12000000</v>
      </c>
      <c r="K470" s="2">
        <v>36000000</v>
      </c>
      <c r="L470" s="3">
        <v>0.15</v>
      </c>
      <c r="M470" t="s">
        <v>19</v>
      </c>
      <c r="N470" t="s">
        <v>986</v>
      </c>
    </row>
    <row r="471" spans="1:14" x14ac:dyDescent="0.25">
      <c r="A471" t="s">
        <v>987</v>
      </c>
      <c r="B471" s="10">
        <v>46070</v>
      </c>
      <c r="C471" t="str">
        <f t="shared" si="8"/>
        <v>February</v>
      </c>
      <c r="D471" t="s">
        <v>46</v>
      </c>
      <c r="E471" t="s">
        <v>47</v>
      </c>
      <c r="F471" t="s">
        <v>48</v>
      </c>
      <c r="G471" t="s">
        <v>42</v>
      </c>
      <c r="H471" t="s">
        <v>43</v>
      </c>
      <c r="I471" s="2">
        <v>10</v>
      </c>
      <c r="J471" s="2">
        <v>750000</v>
      </c>
      <c r="K471" s="2">
        <v>7500000</v>
      </c>
      <c r="L471" s="3">
        <v>0</v>
      </c>
      <c r="M471" t="s">
        <v>19</v>
      </c>
      <c r="N471" t="s">
        <v>988</v>
      </c>
    </row>
    <row r="472" spans="1:14" x14ac:dyDescent="0.25">
      <c r="A472" t="s">
        <v>989</v>
      </c>
      <c r="B472" s="10">
        <v>46147</v>
      </c>
      <c r="C472" t="str">
        <f t="shared" si="8"/>
        <v>May</v>
      </c>
      <c r="D472" t="s">
        <v>39</v>
      </c>
      <c r="E472" t="s">
        <v>40</v>
      </c>
      <c r="F472" t="s">
        <v>41</v>
      </c>
      <c r="G472" t="s">
        <v>29</v>
      </c>
      <c r="H472" t="s">
        <v>30</v>
      </c>
      <c r="I472" s="2">
        <v>14</v>
      </c>
      <c r="J472" s="2">
        <v>12000000</v>
      </c>
      <c r="K472" s="2">
        <v>168000000</v>
      </c>
      <c r="L472" s="3">
        <v>0.15</v>
      </c>
      <c r="M472" t="s">
        <v>31</v>
      </c>
      <c r="N472" t="s">
        <v>990</v>
      </c>
    </row>
    <row r="473" spans="1:14" x14ac:dyDescent="0.25">
      <c r="A473" t="s">
        <v>991</v>
      </c>
      <c r="B473" s="10">
        <v>46190</v>
      </c>
      <c r="C473" t="str">
        <f t="shared" si="8"/>
        <v>June</v>
      </c>
      <c r="D473" t="s">
        <v>62</v>
      </c>
      <c r="E473" t="s">
        <v>63</v>
      </c>
      <c r="F473" t="s">
        <v>64</v>
      </c>
      <c r="G473" t="s">
        <v>42</v>
      </c>
      <c r="H473" t="s">
        <v>43</v>
      </c>
      <c r="I473" s="2">
        <v>11</v>
      </c>
      <c r="J473" s="2">
        <v>4000000</v>
      </c>
      <c r="K473" s="2">
        <v>44000000</v>
      </c>
      <c r="L473" s="3">
        <v>0.15</v>
      </c>
      <c r="M473" t="s">
        <v>77</v>
      </c>
      <c r="N473" t="s">
        <v>992</v>
      </c>
    </row>
    <row r="474" spans="1:14" x14ac:dyDescent="0.25">
      <c r="A474" t="s">
        <v>993</v>
      </c>
      <c r="B474" s="10">
        <v>46238</v>
      </c>
      <c r="C474" t="str">
        <f t="shared" si="8"/>
        <v>August</v>
      </c>
      <c r="D474" t="s">
        <v>62</v>
      </c>
      <c r="E474" t="s">
        <v>63</v>
      </c>
      <c r="F474" t="s">
        <v>64</v>
      </c>
      <c r="G474" t="s">
        <v>42</v>
      </c>
      <c r="H474" t="s">
        <v>43</v>
      </c>
      <c r="I474" s="2">
        <v>3</v>
      </c>
      <c r="J474" s="2">
        <v>4000000</v>
      </c>
      <c r="K474" s="2">
        <v>12000000</v>
      </c>
      <c r="L474" s="3">
        <v>0</v>
      </c>
      <c r="M474" t="s">
        <v>31</v>
      </c>
      <c r="N474" t="s">
        <v>994</v>
      </c>
    </row>
    <row r="475" spans="1:14" x14ac:dyDescent="0.25">
      <c r="A475" t="s">
        <v>995</v>
      </c>
      <c r="B475" s="10">
        <v>46226</v>
      </c>
      <c r="C475" t="str">
        <f t="shared" si="8"/>
        <v>July</v>
      </c>
      <c r="D475" t="s">
        <v>26</v>
      </c>
      <c r="E475" t="s">
        <v>27</v>
      </c>
      <c r="F475" t="s">
        <v>28</v>
      </c>
      <c r="G475" t="s">
        <v>65</v>
      </c>
      <c r="H475" t="s">
        <v>66</v>
      </c>
      <c r="I475" s="2">
        <v>1</v>
      </c>
      <c r="J475" s="2">
        <v>2500000</v>
      </c>
      <c r="K475" s="2">
        <v>2500000</v>
      </c>
      <c r="L475" s="3">
        <v>0.1</v>
      </c>
      <c r="M475" t="s">
        <v>19</v>
      </c>
      <c r="N475" t="s">
        <v>996</v>
      </c>
    </row>
    <row r="476" spans="1:14" x14ac:dyDescent="0.25">
      <c r="A476" t="s">
        <v>997</v>
      </c>
      <c r="B476" s="10">
        <v>46096</v>
      </c>
      <c r="C476" t="str">
        <f t="shared" si="8"/>
        <v>March</v>
      </c>
      <c r="D476" t="s">
        <v>39</v>
      </c>
      <c r="E476" t="s">
        <v>40</v>
      </c>
      <c r="F476" t="s">
        <v>41</v>
      </c>
      <c r="G476" t="s">
        <v>42</v>
      </c>
      <c r="H476" t="s">
        <v>43</v>
      </c>
      <c r="I476" s="2">
        <v>10</v>
      </c>
      <c r="J476" s="2">
        <v>12000000</v>
      </c>
      <c r="K476" s="2">
        <v>120000000</v>
      </c>
      <c r="L476" s="3">
        <v>0.15</v>
      </c>
      <c r="M476" t="s">
        <v>31</v>
      </c>
      <c r="N476" t="s">
        <v>998</v>
      </c>
    </row>
    <row r="477" spans="1:14" x14ac:dyDescent="0.25">
      <c r="A477" t="s">
        <v>999</v>
      </c>
      <c r="B477" s="10">
        <v>46051</v>
      </c>
      <c r="C477" t="str">
        <f t="shared" si="8"/>
        <v>January</v>
      </c>
      <c r="D477" t="s">
        <v>14</v>
      </c>
      <c r="E477" t="s">
        <v>15</v>
      </c>
      <c r="F477" t="s">
        <v>16</v>
      </c>
      <c r="G477" t="s">
        <v>65</v>
      </c>
      <c r="H477" t="s">
        <v>66</v>
      </c>
      <c r="I477" s="2">
        <v>13</v>
      </c>
      <c r="J477" s="2">
        <v>3500000</v>
      </c>
      <c r="K477" s="2">
        <v>45500000</v>
      </c>
      <c r="L477" s="3">
        <v>0.1</v>
      </c>
      <c r="M477" t="s">
        <v>31</v>
      </c>
      <c r="N477" t="s">
        <v>1000</v>
      </c>
    </row>
    <row r="478" spans="1:14" x14ac:dyDescent="0.25">
      <c r="A478" t="s">
        <v>1001</v>
      </c>
      <c r="B478" s="10">
        <v>46216</v>
      </c>
      <c r="C478" t="str">
        <f t="shared" si="8"/>
        <v>July</v>
      </c>
      <c r="D478" t="s">
        <v>92</v>
      </c>
      <c r="E478" t="s">
        <v>93</v>
      </c>
      <c r="F478" t="s">
        <v>16</v>
      </c>
      <c r="G478" t="s">
        <v>42</v>
      </c>
      <c r="H478" t="s">
        <v>43</v>
      </c>
      <c r="I478" s="2">
        <v>9</v>
      </c>
      <c r="J478" s="2">
        <v>1500000</v>
      </c>
      <c r="K478" s="2">
        <v>13500000</v>
      </c>
      <c r="L478" s="3">
        <v>0.05</v>
      </c>
      <c r="M478" t="s">
        <v>77</v>
      </c>
      <c r="N478" t="s">
        <v>1002</v>
      </c>
    </row>
    <row r="479" spans="1:14" x14ac:dyDescent="0.25">
      <c r="A479" t="s">
        <v>1003</v>
      </c>
      <c r="B479" s="10">
        <v>46211</v>
      </c>
      <c r="C479" t="str">
        <f t="shared" si="8"/>
        <v>July</v>
      </c>
      <c r="D479" t="s">
        <v>26</v>
      </c>
      <c r="E479" t="s">
        <v>27</v>
      </c>
      <c r="F479" t="s">
        <v>28</v>
      </c>
      <c r="G479" t="s">
        <v>65</v>
      </c>
      <c r="H479" t="s">
        <v>66</v>
      </c>
      <c r="I479" s="2">
        <v>14</v>
      </c>
      <c r="J479" s="2">
        <v>2500000</v>
      </c>
      <c r="K479" s="2">
        <v>35000000</v>
      </c>
      <c r="L479" s="3">
        <v>0</v>
      </c>
      <c r="M479" t="s">
        <v>77</v>
      </c>
      <c r="N479" t="s">
        <v>1004</v>
      </c>
    </row>
    <row r="480" spans="1:14" x14ac:dyDescent="0.25">
      <c r="A480" t="s">
        <v>1005</v>
      </c>
      <c r="B480" s="10">
        <v>46112</v>
      </c>
      <c r="C480" t="str">
        <f t="shared" si="8"/>
        <v>March</v>
      </c>
      <c r="D480" t="s">
        <v>14</v>
      </c>
      <c r="E480" t="s">
        <v>15</v>
      </c>
      <c r="F480" t="s">
        <v>16</v>
      </c>
      <c r="G480" t="s">
        <v>42</v>
      </c>
      <c r="H480" t="s">
        <v>43</v>
      </c>
      <c r="I480" s="2">
        <v>14</v>
      </c>
      <c r="J480" s="2">
        <v>3500000</v>
      </c>
      <c r="K480" s="2">
        <v>49000000</v>
      </c>
      <c r="L480" s="3">
        <v>0</v>
      </c>
      <c r="M480" t="s">
        <v>19</v>
      </c>
      <c r="N480" t="s">
        <v>1006</v>
      </c>
    </row>
    <row r="481" spans="1:14" x14ac:dyDescent="0.25">
      <c r="A481" t="s">
        <v>1007</v>
      </c>
      <c r="B481" s="10">
        <v>46230</v>
      </c>
      <c r="C481" t="str">
        <f t="shared" si="8"/>
        <v>July</v>
      </c>
      <c r="D481" t="s">
        <v>46</v>
      </c>
      <c r="E481" t="s">
        <v>47</v>
      </c>
      <c r="F481" t="s">
        <v>48</v>
      </c>
      <c r="G481" t="s">
        <v>22</v>
      </c>
      <c r="H481" t="s">
        <v>23</v>
      </c>
      <c r="I481" s="2">
        <v>11</v>
      </c>
      <c r="J481" s="2">
        <v>750000</v>
      </c>
      <c r="K481" s="2">
        <v>8250000</v>
      </c>
      <c r="L481" s="3">
        <v>0.15</v>
      </c>
      <c r="M481" t="s">
        <v>19</v>
      </c>
      <c r="N481" t="s">
        <v>1008</v>
      </c>
    </row>
    <row r="482" spans="1:14" x14ac:dyDescent="0.25">
      <c r="A482" t="s">
        <v>1009</v>
      </c>
      <c r="B482" s="10">
        <v>46058</v>
      </c>
      <c r="C482" t="str">
        <f t="shared" si="8"/>
        <v>February</v>
      </c>
      <c r="D482" t="s">
        <v>26</v>
      </c>
      <c r="E482" t="s">
        <v>27</v>
      </c>
      <c r="F482" t="s">
        <v>28</v>
      </c>
      <c r="G482" t="s">
        <v>29</v>
      </c>
      <c r="H482" t="s">
        <v>30</v>
      </c>
      <c r="I482" s="2">
        <v>13</v>
      </c>
      <c r="J482" s="2">
        <v>2500000</v>
      </c>
      <c r="K482" s="2">
        <v>32500000</v>
      </c>
      <c r="L482" s="3">
        <v>0</v>
      </c>
      <c r="M482" t="s">
        <v>31</v>
      </c>
      <c r="N482" t="s">
        <v>1010</v>
      </c>
    </row>
    <row r="483" spans="1:14" x14ac:dyDescent="0.25">
      <c r="A483" t="s">
        <v>1011</v>
      </c>
      <c r="B483" s="10">
        <v>46159</v>
      </c>
      <c r="C483" t="str">
        <f t="shared" si="8"/>
        <v>May</v>
      </c>
      <c r="D483" t="s">
        <v>58</v>
      </c>
      <c r="E483" t="s">
        <v>59</v>
      </c>
      <c r="F483" t="s">
        <v>28</v>
      </c>
      <c r="G483" t="s">
        <v>22</v>
      </c>
      <c r="H483" t="s">
        <v>23</v>
      </c>
      <c r="I483" s="2">
        <v>9</v>
      </c>
      <c r="J483" s="2">
        <v>5500000</v>
      </c>
      <c r="K483" s="2">
        <v>49500000</v>
      </c>
      <c r="L483" s="3">
        <v>0.05</v>
      </c>
      <c r="M483" t="s">
        <v>19</v>
      </c>
      <c r="N483" t="s">
        <v>1012</v>
      </c>
    </row>
    <row r="484" spans="1:14" x14ac:dyDescent="0.25">
      <c r="A484" t="s">
        <v>1013</v>
      </c>
      <c r="B484" s="10">
        <v>46097</v>
      </c>
      <c r="C484" t="str">
        <f t="shared" si="8"/>
        <v>March</v>
      </c>
      <c r="D484" t="s">
        <v>58</v>
      </c>
      <c r="E484" t="s">
        <v>59</v>
      </c>
      <c r="F484" t="s">
        <v>28</v>
      </c>
      <c r="G484" t="s">
        <v>22</v>
      </c>
      <c r="H484" t="s">
        <v>23</v>
      </c>
      <c r="I484" s="2">
        <v>5</v>
      </c>
      <c r="J484" s="2">
        <v>5500000</v>
      </c>
      <c r="K484" s="2">
        <v>27500000</v>
      </c>
      <c r="L484" s="3">
        <v>0</v>
      </c>
      <c r="M484" t="s">
        <v>19</v>
      </c>
      <c r="N484" t="s">
        <v>1014</v>
      </c>
    </row>
    <row r="485" spans="1:14" x14ac:dyDescent="0.25">
      <c r="A485" t="s">
        <v>1015</v>
      </c>
      <c r="B485" s="10">
        <v>46224</v>
      </c>
      <c r="C485" t="str">
        <f t="shared" si="8"/>
        <v>July</v>
      </c>
      <c r="D485" t="s">
        <v>34</v>
      </c>
      <c r="E485" t="s">
        <v>35</v>
      </c>
      <c r="F485" t="s">
        <v>36</v>
      </c>
      <c r="G485" t="s">
        <v>17</v>
      </c>
      <c r="H485" t="s">
        <v>18</v>
      </c>
      <c r="I485" s="2">
        <v>5</v>
      </c>
      <c r="J485" s="2">
        <v>2000000</v>
      </c>
      <c r="K485" s="2">
        <v>10000000</v>
      </c>
      <c r="L485" s="3">
        <v>0.05</v>
      </c>
      <c r="M485" t="s">
        <v>51</v>
      </c>
      <c r="N485" t="s">
        <v>1016</v>
      </c>
    </row>
    <row r="486" spans="1:14" x14ac:dyDescent="0.25">
      <c r="A486" t="s">
        <v>1017</v>
      </c>
      <c r="B486" s="10">
        <v>46056</v>
      </c>
      <c r="C486" t="str">
        <f t="shared" si="8"/>
        <v>February</v>
      </c>
      <c r="D486" t="s">
        <v>26</v>
      </c>
      <c r="E486" t="s">
        <v>27</v>
      </c>
      <c r="F486" t="s">
        <v>28</v>
      </c>
      <c r="G486" t="s">
        <v>29</v>
      </c>
      <c r="H486" t="s">
        <v>30</v>
      </c>
      <c r="I486" s="2">
        <v>12</v>
      </c>
      <c r="J486" s="2">
        <v>2500000</v>
      </c>
      <c r="K486" s="2">
        <v>30000000</v>
      </c>
      <c r="L486" s="3">
        <v>0.1</v>
      </c>
      <c r="M486" t="s">
        <v>19</v>
      </c>
      <c r="N486" t="s">
        <v>1018</v>
      </c>
    </row>
    <row r="487" spans="1:14" x14ac:dyDescent="0.25">
      <c r="A487" t="s">
        <v>1019</v>
      </c>
      <c r="B487" s="10">
        <v>46238</v>
      </c>
      <c r="C487" t="str">
        <f t="shared" si="8"/>
        <v>August</v>
      </c>
      <c r="D487" t="s">
        <v>34</v>
      </c>
      <c r="E487" t="s">
        <v>35</v>
      </c>
      <c r="F487" t="s">
        <v>36</v>
      </c>
      <c r="G487" t="s">
        <v>42</v>
      </c>
      <c r="H487" t="s">
        <v>43</v>
      </c>
      <c r="I487" s="2">
        <v>3</v>
      </c>
      <c r="J487" s="2">
        <v>2000000</v>
      </c>
      <c r="K487" s="2">
        <v>6000000</v>
      </c>
      <c r="L487" s="3">
        <v>0.1</v>
      </c>
      <c r="M487" t="s">
        <v>51</v>
      </c>
      <c r="N487" t="s">
        <v>1020</v>
      </c>
    </row>
    <row r="488" spans="1:14" x14ac:dyDescent="0.25">
      <c r="A488" t="s">
        <v>1021</v>
      </c>
      <c r="B488" s="10">
        <v>46119</v>
      </c>
      <c r="C488" t="str">
        <f t="shared" si="8"/>
        <v>April</v>
      </c>
      <c r="D488" t="s">
        <v>62</v>
      </c>
      <c r="E488" t="s">
        <v>63</v>
      </c>
      <c r="F488" t="s">
        <v>64</v>
      </c>
      <c r="G488" t="s">
        <v>17</v>
      </c>
      <c r="H488" t="s">
        <v>18</v>
      </c>
      <c r="I488" s="2">
        <v>11</v>
      </c>
      <c r="J488" s="2">
        <v>4000000</v>
      </c>
      <c r="K488" s="2">
        <v>44000000</v>
      </c>
      <c r="L488" s="3">
        <v>0</v>
      </c>
      <c r="M488" t="s">
        <v>77</v>
      </c>
      <c r="N488" t="s">
        <v>1022</v>
      </c>
    </row>
    <row r="489" spans="1:14" x14ac:dyDescent="0.25">
      <c r="A489" t="s">
        <v>1023</v>
      </c>
      <c r="B489" s="10">
        <v>46214</v>
      </c>
      <c r="C489" t="str">
        <f t="shared" si="8"/>
        <v>July</v>
      </c>
      <c r="D489" t="s">
        <v>58</v>
      </c>
      <c r="E489" t="s">
        <v>59</v>
      </c>
      <c r="F489" t="s">
        <v>28</v>
      </c>
      <c r="G489" t="s">
        <v>65</v>
      </c>
      <c r="H489" t="s">
        <v>66</v>
      </c>
      <c r="I489" s="2">
        <v>8</v>
      </c>
      <c r="J489" s="2">
        <v>5500000</v>
      </c>
      <c r="K489" s="2">
        <v>44000000</v>
      </c>
      <c r="L489" s="3">
        <v>0.15</v>
      </c>
      <c r="M489" t="s">
        <v>19</v>
      </c>
      <c r="N489" t="s">
        <v>1024</v>
      </c>
    </row>
    <row r="490" spans="1:14" x14ac:dyDescent="0.25">
      <c r="A490" t="s">
        <v>1025</v>
      </c>
      <c r="B490" s="10">
        <v>46023</v>
      </c>
      <c r="C490" t="str">
        <f t="shared" si="8"/>
        <v>January</v>
      </c>
      <c r="D490" t="s">
        <v>14</v>
      </c>
      <c r="E490" t="s">
        <v>15</v>
      </c>
      <c r="F490" t="s">
        <v>16</v>
      </c>
      <c r="G490" t="s">
        <v>42</v>
      </c>
      <c r="H490" t="s">
        <v>43</v>
      </c>
      <c r="I490" s="2">
        <v>11</v>
      </c>
      <c r="J490" s="2">
        <v>3500000</v>
      </c>
      <c r="K490" s="2">
        <v>38500000</v>
      </c>
      <c r="L490" s="3">
        <v>0.1</v>
      </c>
      <c r="M490" t="s">
        <v>19</v>
      </c>
      <c r="N490" t="s">
        <v>1026</v>
      </c>
    </row>
    <row r="491" spans="1:14" x14ac:dyDescent="0.25">
      <c r="A491" t="s">
        <v>1027</v>
      </c>
      <c r="B491" s="10">
        <v>46159</v>
      </c>
      <c r="C491" t="str">
        <f t="shared" si="8"/>
        <v>May</v>
      </c>
      <c r="D491" t="s">
        <v>34</v>
      </c>
      <c r="E491" t="s">
        <v>35</v>
      </c>
      <c r="F491" t="s">
        <v>36</v>
      </c>
      <c r="G491" t="s">
        <v>29</v>
      </c>
      <c r="H491" t="s">
        <v>30</v>
      </c>
      <c r="I491" s="2">
        <v>7</v>
      </c>
      <c r="J491" s="2">
        <v>2000000</v>
      </c>
      <c r="K491" s="2">
        <v>14000000</v>
      </c>
      <c r="L491" s="3">
        <v>0.05</v>
      </c>
      <c r="M491" t="s">
        <v>77</v>
      </c>
      <c r="N491" t="s">
        <v>1028</v>
      </c>
    </row>
    <row r="492" spans="1:14" x14ac:dyDescent="0.25">
      <c r="A492" t="s">
        <v>1029</v>
      </c>
      <c r="B492" s="10">
        <v>46105</v>
      </c>
      <c r="C492" t="str">
        <f t="shared" si="8"/>
        <v>March</v>
      </c>
      <c r="D492" t="s">
        <v>58</v>
      </c>
      <c r="E492" t="s">
        <v>59</v>
      </c>
      <c r="F492" t="s">
        <v>28</v>
      </c>
      <c r="G492" t="s">
        <v>65</v>
      </c>
      <c r="H492" t="s">
        <v>66</v>
      </c>
      <c r="I492" s="2">
        <v>9</v>
      </c>
      <c r="J492" s="2">
        <v>5500000</v>
      </c>
      <c r="K492" s="2">
        <v>49500000</v>
      </c>
      <c r="L492" s="3">
        <v>0.05</v>
      </c>
      <c r="M492" t="s">
        <v>31</v>
      </c>
      <c r="N492" t="s">
        <v>1030</v>
      </c>
    </row>
    <row r="493" spans="1:14" x14ac:dyDescent="0.25">
      <c r="A493" t="s">
        <v>1031</v>
      </c>
      <c r="B493" s="10">
        <v>46147</v>
      </c>
      <c r="C493" t="str">
        <f t="shared" si="8"/>
        <v>May</v>
      </c>
      <c r="D493" t="s">
        <v>46</v>
      </c>
      <c r="E493" t="s">
        <v>47</v>
      </c>
      <c r="F493" t="s">
        <v>48</v>
      </c>
      <c r="G493" t="s">
        <v>17</v>
      </c>
      <c r="H493" t="s">
        <v>18</v>
      </c>
      <c r="I493" s="2">
        <v>1</v>
      </c>
      <c r="J493" s="2">
        <v>750000</v>
      </c>
      <c r="K493" s="2">
        <v>750000</v>
      </c>
      <c r="L493" s="3">
        <v>0</v>
      </c>
      <c r="M493" t="s">
        <v>51</v>
      </c>
      <c r="N493" t="s">
        <v>1032</v>
      </c>
    </row>
    <row r="494" spans="1:14" x14ac:dyDescent="0.25">
      <c r="A494" t="s">
        <v>1033</v>
      </c>
      <c r="B494" s="10">
        <v>46237</v>
      </c>
      <c r="C494" t="str">
        <f t="shared" si="8"/>
        <v>August</v>
      </c>
      <c r="D494" t="s">
        <v>62</v>
      </c>
      <c r="E494" t="s">
        <v>63</v>
      </c>
      <c r="F494" t="s">
        <v>64</v>
      </c>
      <c r="G494" t="s">
        <v>17</v>
      </c>
      <c r="H494" t="s">
        <v>18</v>
      </c>
      <c r="I494" s="2">
        <v>2</v>
      </c>
      <c r="J494" s="2">
        <v>4000000</v>
      </c>
      <c r="K494" s="2">
        <v>8000000</v>
      </c>
      <c r="L494" s="3">
        <v>0.05</v>
      </c>
      <c r="M494" t="s">
        <v>77</v>
      </c>
      <c r="N494" t="s">
        <v>1034</v>
      </c>
    </row>
    <row r="495" spans="1:14" x14ac:dyDescent="0.25">
      <c r="A495" t="s">
        <v>1035</v>
      </c>
      <c r="B495" s="10">
        <v>46023</v>
      </c>
      <c r="C495" t="str">
        <f t="shared" si="8"/>
        <v>January</v>
      </c>
      <c r="D495" t="s">
        <v>34</v>
      </c>
      <c r="E495" t="s">
        <v>35</v>
      </c>
      <c r="F495" t="s">
        <v>36</v>
      </c>
      <c r="G495" t="s">
        <v>29</v>
      </c>
      <c r="H495" t="s">
        <v>30</v>
      </c>
      <c r="I495" s="2">
        <v>12</v>
      </c>
      <c r="J495" s="2">
        <v>2000000</v>
      </c>
      <c r="K495" s="2">
        <v>24000000</v>
      </c>
      <c r="L495" s="3">
        <v>0.05</v>
      </c>
      <c r="M495" t="s">
        <v>51</v>
      </c>
      <c r="N495" t="s">
        <v>1036</v>
      </c>
    </row>
    <row r="496" spans="1:14" x14ac:dyDescent="0.25">
      <c r="A496" t="s">
        <v>1037</v>
      </c>
      <c r="B496" s="10">
        <v>46063</v>
      </c>
      <c r="C496" t="str">
        <f t="shared" si="8"/>
        <v>February</v>
      </c>
      <c r="D496" t="s">
        <v>58</v>
      </c>
      <c r="E496" t="s">
        <v>59</v>
      </c>
      <c r="F496" t="s">
        <v>28</v>
      </c>
      <c r="G496" t="s">
        <v>17</v>
      </c>
      <c r="H496" t="s">
        <v>18</v>
      </c>
      <c r="I496" s="2">
        <v>11</v>
      </c>
      <c r="J496" s="2">
        <v>5500000</v>
      </c>
      <c r="K496" s="2">
        <v>60500000</v>
      </c>
      <c r="L496" s="3">
        <v>0.1</v>
      </c>
      <c r="M496" t="s">
        <v>19</v>
      </c>
      <c r="N496" t="s">
        <v>1038</v>
      </c>
    </row>
    <row r="497" spans="1:14" x14ac:dyDescent="0.25">
      <c r="A497" t="s">
        <v>1039</v>
      </c>
      <c r="B497" s="10">
        <v>46118</v>
      </c>
      <c r="C497" t="str">
        <f t="shared" si="8"/>
        <v>April</v>
      </c>
      <c r="D497" t="s">
        <v>39</v>
      </c>
      <c r="E497" t="s">
        <v>40</v>
      </c>
      <c r="F497" t="s">
        <v>41</v>
      </c>
      <c r="G497" t="s">
        <v>17</v>
      </c>
      <c r="H497" t="s">
        <v>18</v>
      </c>
      <c r="I497" s="2">
        <v>7</v>
      </c>
      <c r="J497" s="2">
        <v>12000000</v>
      </c>
      <c r="K497" s="2">
        <v>84000000</v>
      </c>
      <c r="L497" s="3">
        <v>0.1</v>
      </c>
      <c r="M497" t="s">
        <v>51</v>
      </c>
      <c r="N497" t="s">
        <v>1040</v>
      </c>
    </row>
    <row r="498" spans="1:14" x14ac:dyDescent="0.25">
      <c r="A498" t="s">
        <v>1041</v>
      </c>
      <c r="B498" s="10">
        <v>46216</v>
      </c>
      <c r="C498" t="str">
        <f t="shared" si="8"/>
        <v>July</v>
      </c>
      <c r="D498" t="s">
        <v>26</v>
      </c>
      <c r="E498" t="s">
        <v>27</v>
      </c>
      <c r="F498" t="s">
        <v>28</v>
      </c>
      <c r="G498" t="s">
        <v>42</v>
      </c>
      <c r="H498" t="s">
        <v>43</v>
      </c>
      <c r="I498" s="2">
        <v>11</v>
      </c>
      <c r="J498" s="2">
        <v>2500000</v>
      </c>
      <c r="K498" s="2">
        <v>27500000</v>
      </c>
      <c r="L498" s="3">
        <v>0</v>
      </c>
      <c r="M498" t="s">
        <v>51</v>
      </c>
      <c r="N498" t="s">
        <v>1042</v>
      </c>
    </row>
    <row r="499" spans="1:14" x14ac:dyDescent="0.25">
      <c r="A499" t="s">
        <v>1043</v>
      </c>
      <c r="B499" s="10">
        <v>46023</v>
      </c>
      <c r="C499" t="str">
        <f t="shared" si="8"/>
        <v>January</v>
      </c>
      <c r="D499" t="s">
        <v>26</v>
      </c>
      <c r="E499" t="s">
        <v>27</v>
      </c>
      <c r="F499" t="s">
        <v>28</v>
      </c>
      <c r="G499" t="s">
        <v>42</v>
      </c>
      <c r="H499" t="s">
        <v>43</v>
      </c>
      <c r="I499" s="2">
        <v>2</v>
      </c>
      <c r="J499" s="2">
        <v>2500000</v>
      </c>
      <c r="K499" s="2">
        <v>5000000</v>
      </c>
      <c r="L499" s="3">
        <v>0.05</v>
      </c>
      <c r="M499" t="s">
        <v>31</v>
      </c>
      <c r="N499" t="s">
        <v>1044</v>
      </c>
    </row>
    <row r="500" spans="1:14" x14ac:dyDescent="0.25">
      <c r="A500" t="s">
        <v>1045</v>
      </c>
      <c r="B500" s="10">
        <v>46155</v>
      </c>
      <c r="C500" t="str">
        <f t="shared" si="8"/>
        <v>May</v>
      </c>
      <c r="D500" t="s">
        <v>62</v>
      </c>
      <c r="E500" t="s">
        <v>63</v>
      </c>
      <c r="F500" t="s">
        <v>64</v>
      </c>
      <c r="G500" t="s">
        <v>17</v>
      </c>
      <c r="H500" t="s">
        <v>18</v>
      </c>
      <c r="I500" s="2">
        <v>1</v>
      </c>
      <c r="J500" s="2">
        <v>4000000</v>
      </c>
      <c r="K500" s="2">
        <v>4000000</v>
      </c>
      <c r="L500" s="3">
        <v>0.1</v>
      </c>
      <c r="M500" t="s">
        <v>19</v>
      </c>
      <c r="N500" t="s">
        <v>1046</v>
      </c>
    </row>
    <row r="501" spans="1:14" x14ac:dyDescent="0.25">
      <c r="A501" t="s">
        <v>1047</v>
      </c>
      <c r="B501" s="10">
        <v>46131</v>
      </c>
      <c r="C501" t="str">
        <f t="shared" si="8"/>
        <v>April</v>
      </c>
      <c r="D501" t="s">
        <v>39</v>
      </c>
      <c r="E501" t="s">
        <v>40</v>
      </c>
      <c r="F501" t="s">
        <v>41</v>
      </c>
      <c r="G501" t="s">
        <v>42</v>
      </c>
      <c r="H501" t="s">
        <v>43</v>
      </c>
      <c r="I501" s="2">
        <v>2</v>
      </c>
      <c r="J501" s="2">
        <v>12000000</v>
      </c>
      <c r="K501" s="2">
        <v>24000000</v>
      </c>
      <c r="L501" s="3">
        <v>0.05</v>
      </c>
      <c r="M501" t="s">
        <v>77</v>
      </c>
      <c r="N501" t="s">
        <v>1048</v>
      </c>
    </row>
    <row r="502" spans="1:14" x14ac:dyDescent="0.25">
      <c r="A502" t="s">
        <v>1049</v>
      </c>
      <c r="B502" s="10">
        <v>46210</v>
      </c>
      <c r="C502" t="str">
        <f t="shared" si="8"/>
        <v>July</v>
      </c>
      <c r="D502" t="s">
        <v>14</v>
      </c>
      <c r="E502" t="s">
        <v>15</v>
      </c>
      <c r="F502" t="s">
        <v>16</v>
      </c>
      <c r="G502" t="s">
        <v>17</v>
      </c>
      <c r="H502" t="s">
        <v>18</v>
      </c>
      <c r="I502" s="2">
        <v>6</v>
      </c>
      <c r="J502" s="2">
        <v>3500000</v>
      </c>
      <c r="K502" s="2">
        <v>21000000</v>
      </c>
      <c r="L502" s="3">
        <v>0.1</v>
      </c>
      <c r="M502" t="s">
        <v>19</v>
      </c>
      <c r="N502" t="s">
        <v>1050</v>
      </c>
    </row>
    <row r="503" spans="1:14" x14ac:dyDescent="0.25">
      <c r="A503" t="s">
        <v>1051</v>
      </c>
      <c r="B503" s="10">
        <v>46120</v>
      </c>
      <c r="C503" t="str">
        <f t="shared" si="8"/>
        <v>April</v>
      </c>
      <c r="D503" t="s">
        <v>39</v>
      </c>
      <c r="E503" t="s">
        <v>40</v>
      </c>
      <c r="F503" t="s">
        <v>41</v>
      </c>
      <c r="G503" t="s">
        <v>29</v>
      </c>
      <c r="H503" t="s">
        <v>30</v>
      </c>
      <c r="I503" s="2">
        <v>2</v>
      </c>
      <c r="J503" s="2">
        <v>12000000</v>
      </c>
      <c r="K503" s="2">
        <v>24000000</v>
      </c>
      <c r="L503" s="3">
        <v>0</v>
      </c>
      <c r="M503" t="s">
        <v>31</v>
      </c>
      <c r="N503" t="s">
        <v>1052</v>
      </c>
    </row>
    <row r="504" spans="1:14" x14ac:dyDescent="0.25">
      <c r="A504" t="s">
        <v>1053</v>
      </c>
      <c r="B504" s="10">
        <v>46065</v>
      </c>
      <c r="C504" t="str">
        <f t="shared" si="8"/>
        <v>February</v>
      </c>
      <c r="D504" t="s">
        <v>62</v>
      </c>
      <c r="E504" t="s">
        <v>63</v>
      </c>
      <c r="F504" t="s">
        <v>64</v>
      </c>
      <c r="G504" t="s">
        <v>65</v>
      </c>
      <c r="H504" t="s">
        <v>66</v>
      </c>
      <c r="I504" s="2">
        <v>12</v>
      </c>
      <c r="J504" s="2">
        <v>4000000</v>
      </c>
      <c r="K504" s="2">
        <v>48000000</v>
      </c>
      <c r="L504" s="3">
        <v>0.05</v>
      </c>
      <c r="M504" t="s">
        <v>51</v>
      </c>
      <c r="N504" t="s">
        <v>1054</v>
      </c>
    </row>
    <row r="505" spans="1:14" x14ac:dyDescent="0.25">
      <c r="A505" t="s">
        <v>1055</v>
      </c>
      <c r="B505" s="10">
        <v>46061</v>
      </c>
      <c r="C505" t="str">
        <f t="shared" si="8"/>
        <v>February</v>
      </c>
      <c r="D505" t="s">
        <v>34</v>
      </c>
      <c r="E505" t="s">
        <v>35</v>
      </c>
      <c r="F505" t="s">
        <v>36</v>
      </c>
      <c r="G505" t="s">
        <v>22</v>
      </c>
      <c r="H505" t="s">
        <v>23</v>
      </c>
      <c r="I505" s="2">
        <v>11</v>
      </c>
      <c r="J505" s="2">
        <v>2000000</v>
      </c>
      <c r="K505" s="2">
        <v>22000000</v>
      </c>
      <c r="L505" s="3">
        <v>0.15</v>
      </c>
      <c r="M505" t="s">
        <v>19</v>
      </c>
      <c r="N505" t="s">
        <v>1056</v>
      </c>
    </row>
    <row r="506" spans="1:14" x14ac:dyDescent="0.25">
      <c r="A506" t="s">
        <v>1057</v>
      </c>
      <c r="B506" s="10">
        <v>46048</v>
      </c>
      <c r="C506" t="str">
        <f t="shared" si="8"/>
        <v>January</v>
      </c>
      <c r="D506" t="s">
        <v>39</v>
      </c>
      <c r="E506" t="s">
        <v>40</v>
      </c>
      <c r="F506" t="s">
        <v>41</v>
      </c>
      <c r="G506" t="s">
        <v>17</v>
      </c>
      <c r="H506" t="s">
        <v>18</v>
      </c>
      <c r="I506" s="2">
        <v>10</v>
      </c>
      <c r="J506" s="2">
        <v>12000000</v>
      </c>
      <c r="K506" s="2">
        <v>120000000</v>
      </c>
      <c r="L506" s="3">
        <v>0.15</v>
      </c>
      <c r="M506" t="s">
        <v>19</v>
      </c>
      <c r="N506" t="s">
        <v>1058</v>
      </c>
    </row>
    <row r="507" spans="1:14" x14ac:dyDescent="0.25">
      <c r="A507" t="s">
        <v>1059</v>
      </c>
      <c r="B507" s="10">
        <v>46103</v>
      </c>
      <c r="C507" t="str">
        <f t="shared" si="8"/>
        <v>March</v>
      </c>
      <c r="D507" t="s">
        <v>39</v>
      </c>
      <c r="E507" t="s">
        <v>40</v>
      </c>
      <c r="F507" t="s">
        <v>41</v>
      </c>
      <c r="G507" t="s">
        <v>29</v>
      </c>
      <c r="H507" t="s">
        <v>30</v>
      </c>
      <c r="I507" s="2">
        <v>5</v>
      </c>
      <c r="J507" s="2">
        <v>12000000</v>
      </c>
      <c r="K507" s="2">
        <v>60000000</v>
      </c>
      <c r="L507" s="3">
        <v>0</v>
      </c>
      <c r="M507" t="s">
        <v>19</v>
      </c>
      <c r="N507" t="s">
        <v>1060</v>
      </c>
    </row>
    <row r="508" spans="1:14" x14ac:dyDescent="0.25">
      <c r="A508" t="s">
        <v>1061</v>
      </c>
      <c r="B508" s="10">
        <v>46176</v>
      </c>
      <c r="C508" t="str">
        <f t="shared" si="8"/>
        <v>June</v>
      </c>
      <c r="D508" t="s">
        <v>58</v>
      </c>
      <c r="E508" t="s">
        <v>59</v>
      </c>
      <c r="F508" t="s">
        <v>28</v>
      </c>
      <c r="G508" t="s">
        <v>17</v>
      </c>
      <c r="H508" t="s">
        <v>18</v>
      </c>
      <c r="I508" s="2">
        <v>14</v>
      </c>
      <c r="J508" s="2">
        <v>5500000</v>
      </c>
      <c r="K508" s="2">
        <v>77000000</v>
      </c>
      <c r="L508" s="3">
        <v>0.1</v>
      </c>
      <c r="M508" t="s">
        <v>19</v>
      </c>
      <c r="N508" t="s">
        <v>1062</v>
      </c>
    </row>
    <row r="509" spans="1:14" x14ac:dyDescent="0.25">
      <c r="A509" t="s">
        <v>1063</v>
      </c>
      <c r="B509" s="10">
        <v>46178</v>
      </c>
      <c r="C509" t="str">
        <f t="shared" si="8"/>
        <v>June</v>
      </c>
      <c r="D509" t="s">
        <v>26</v>
      </c>
      <c r="E509" t="s">
        <v>27</v>
      </c>
      <c r="F509" t="s">
        <v>28</v>
      </c>
      <c r="G509" t="s">
        <v>42</v>
      </c>
      <c r="H509" t="s">
        <v>43</v>
      </c>
      <c r="I509" s="2">
        <v>5</v>
      </c>
      <c r="J509" s="2">
        <v>2500000</v>
      </c>
      <c r="K509" s="2">
        <v>12500000</v>
      </c>
      <c r="L509" s="3">
        <v>0</v>
      </c>
      <c r="M509" t="s">
        <v>19</v>
      </c>
      <c r="N509" t="s">
        <v>1064</v>
      </c>
    </row>
    <row r="510" spans="1:14" x14ac:dyDescent="0.25">
      <c r="A510" t="s">
        <v>1065</v>
      </c>
      <c r="B510" s="10">
        <v>46121</v>
      </c>
      <c r="C510" t="str">
        <f t="shared" si="8"/>
        <v>April</v>
      </c>
      <c r="D510" t="s">
        <v>14</v>
      </c>
      <c r="E510" t="s">
        <v>15</v>
      </c>
      <c r="F510" t="s">
        <v>16</v>
      </c>
      <c r="G510" t="s">
        <v>29</v>
      </c>
      <c r="H510" t="s">
        <v>30</v>
      </c>
      <c r="I510" s="2">
        <v>8</v>
      </c>
      <c r="J510" s="2">
        <v>3500000</v>
      </c>
      <c r="K510" s="2">
        <v>28000000</v>
      </c>
      <c r="L510" s="3">
        <v>0</v>
      </c>
      <c r="M510" t="s">
        <v>31</v>
      </c>
      <c r="N510" t="s">
        <v>1066</v>
      </c>
    </row>
    <row r="511" spans="1:14" x14ac:dyDescent="0.25">
      <c r="A511" t="s">
        <v>1067</v>
      </c>
      <c r="B511" s="10">
        <v>46115</v>
      </c>
      <c r="C511" t="str">
        <f t="shared" si="8"/>
        <v>April</v>
      </c>
      <c r="D511" t="s">
        <v>46</v>
      </c>
      <c r="E511" t="s">
        <v>47</v>
      </c>
      <c r="F511" t="s">
        <v>48</v>
      </c>
      <c r="G511" t="s">
        <v>29</v>
      </c>
      <c r="H511" t="s">
        <v>30</v>
      </c>
      <c r="I511" s="2">
        <v>7</v>
      </c>
      <c r="J511" s="2">
        <v>750000</v>
      </c>
      <c r="K511" s="2">
        <v>5250000</v>
      </c>
      <c r="L511" s="3">
        <v>0.15</v>
      </c>
      <c r="M511" t="s">
        <v>19</v>
      </c>
      <c r="N511" t="s">
        <v>1068</v>
      </c>
    </row>
    <row r="512" spans="1:14" x14ac:dyDescent="0.25">
      <c r="A512" t="s">
        <v>1069</v>
      </c>
      <c r="B512" s="10">
        <v>46197</v>
      </c>
      <c r="C512" t="str">
        <f t="shared" si="8"/>
        <v>June</v>
      </c>
      <c r="D512" t="s">
        <v>39</v>
      </c>
      <c r="E512" t="s">
        <v>40</v>
      </c>
      <c r="F512" t="s">
        <v>41</v>
      </c>
      <c r="G512" t="s">
        <v>42</v>
      </c>
      <c r="H512" t="s">
        <v>43</v>
      </c>
      <c r="I512" s="2">
        <v>13</v>
      </c>
      <c r="J512" s="2">
        <v>12000000</v>
      </c>
      <c r="K512" s="2">
        <v>156000000</v>
      </c>
      <c r="L512" s="3">
        <v>0</v>
      </c>
      <c r="M512" t="s">
        <v>19</v>
      </c>
      <c r="N512" t="s">
        <v>1070</v>
      </c>
    </row>
    <row r="513" spans="1:14" x14ac:dyDescent="0.25">
      <c r="A513" t="s">
        <v>1071</v>
      </c>
      <c r="B513" s="10">
        <v>46040</v>
      </c>
      <c r="C513" t="str">
        <f t="shared" si="8"/>
        <v>January</v>
      </c>
      <c r="D513" t="s">
        <v>92</v>
      </c>
      <c r="E513" t="s">
        <v>93</v>
      </c>
      <c r="F513" t="s">
        <v>16</v>
      </c>
      <c r="G513" t="s">
        <v>65</v>
      </c>
      <c r="H513" t="s">
        <v>66</v>
      </c>
      <c r="I513" s="2">
        <v>4</v>
      </c>
      <c r="J513" s="2">
        <v>1500000</v>
      </c>
      <c r="K513" s="2">
        <v>6000000</v>
      </c>
      <c r="L513" s="3">
        <v>0</v>
      </c>
      <c r="M513" t="s">
        <v>19</v>
      </c>
      <c r="N513" t="s">
        <v>1072</v>
      </c>
    </row>
    <row r="514" spans="1:14" x14ac:dyDescent="0.25">
      <c r="A514" t="s">
        <v>1073</v>
      </c>
      <c r="B514" s="10">
        <v>46124</v>
      </c>
      <c r="C514" t="str">
        <f t="shared" si="8"/>
        <v>April</v>
      </c>
      <c r="D514" t="s">
        <v>58</v>
      </c>
      <c r="E514" t="s">
        <v>59</v>
      </c>
      <c r="F514" t="s">
        <v>28</v>
      </c>
      <c r="G514" t="s">
        <v>22</v>
      </c>
      <c r="H514" t="s">
        <v>23</v>
      </c>
      <c r="I514" s="2">
        <v>13</v>
      </c>
      <c r="J514" s="2">
        <v>5500000</v>
      </c>
      <c r="K514" s="2">
        <v>71500000</v>
      </c>
      <c r="L514" s="3">
        <v>0.15</v>
      </c>
      <c r="M514" t="s">
        <v>77</v>
      </c>
      <c r="N514" t="s">
        <v>1074</v>
      </c>
    </row>
    <row r="515" spans="1:14" x14ac:dyDescent="0.25">
      <c r="A515" t="s">
        <v>1075</v>
      </c>
      <c r="B515" s="10">
        <v>46125</v>
      </c>
      <c r="C515" t="str">
        <f t="shared" ref="C515:C578" si="9">TEXT(B515, "MMMM")</f>
        <v>April</v>
      </c>
      <c r="D515" t="s">
        <v>14</v>
      </c>
      <c r="E515" t="s">
        <v>15</v>
      </c>
      <c r="F515" t="s">
        <v>16</v>
      </c>
      <c r="G515" t="s">
        <v>22</v>
      </c>
      <c r="H515" t="s">
        <v>23</v>
      </c>
      <c r="I515" s="2">
        <v>9</v>
      </c>
      <c r="J515" s="2">
        <v>3500000</v>
      </c>
      <c r="K515" s="2">
        <v>31500000</v>
      </c>
      <c r="L515" s="3">
        <v>0.05</v>
      </c>
      <c r="M515" t="s">
        <v>19</v>
      </c>
      <c r="N515" t="s">
        <v>1076</v>
      </c>
    </row>
    <row r="516" spans="1:14" x14ac:dyDescent="0.25">
      <c r="A516" t="s">
        <v>1077</v>
      </c>
      <c r="B516" s="10">
        <v>46102</v>
      </c>
      <c r="C516" t="str">
        <f t="shared" si="9"/>
        <v>March</v>
      </c>
      <c r="D516" t="s">
        <v>14</v>
      </c>
      <c r="E516" t="s">
        <v>15</v>
      </c>
      <c r="F516" t="s">
        <v>16</v>
      </c>
      <c r="G516" t="s">
        <v>22</v>
      </c>
      <c r="H516" t="s">
        <v>23</v>
      </c>
      <c r="I516" s="2">
        <v>15</v>
      </c>
      <c r="J516" s="2">
        <v>3500000</v>
      </c>
      <c r="K516" s="2">
        <v>52500000</v>
      </c>
      <c r="L516" s="3">
        <v>0.05</v>
      </c>
      <c r="M516" t="s">
        <v>19</v>
      </c>
      <c r="N516" t="s">
        <v>1078</v>
      </c>
    </row>
    <row r="517" spans="1:14" x14ac:dyDescent="0.25">
      <c r="A517" t="s">
        <v>1079</v>
      </c>
      <c r="B517" s="10">
        <v>46106</v>
      </c>
      <c r="C517" t="str">
        <f t="shared" si="9"/>
        <v>March</v>
      </c>
      <c r="D517" t="s">
        <v>34</v>
      </c>
      <c r="E517" t="s">
        <v>35</v>
      </c>
      <c r="F517" t="s">
        <v>36</v>
      </c>
      <c r="G517" t="s">
        <v>22</v>
      </c>
      <c r="H517" t="s">
        <v>23</v>
      </c>
      <c r="I517" s="2">
        <v>11</v>
      </c>
      <c r="J517" s="2">
        <v>2000000</v>
      </c>
      <c r="K517" s="2">
        <v>22000000</v>
      </c>
      <c r="L517" s="3">
        <v>0</v>
      </c>
      <c r="M517" t="s">
        <v>19</v>
      </c>
      <c r="N517" t="s">
        <v>1080</v>
      </c>
    </row>
    <row r="518" spans="1:14" x14ac:dyDescent="0.25">
      <c r="A518" t="s">
        <v>1081</v>
      </c>
      <c r="B518" s="10">
        <v>46134</v>
      </c>
      <c r="C518" t="str">
        <f t="shared" si="9"/>
        <v>April</v>
      </c>
      <c r="D518" t="s">
        <v>26</v>
      </c>
      <c r="E518" t="s">
        <v>27</v>
      </c>
      <c r="F518" t="s">
        <v>28</v>
      </c>
      <c r="G518" t="s">
        <v>17</v>
      </c>
      <c r="H518" t="s">
        <v>18</v>
      </c>
      <c r="I518" s="2">
        <v>4</v>
      </c>
      <c r="J518" s="2">
        <v>2500000</v>
      </c>
      <c r="K518" s="2">
        <v>10000000</v>
      </c>
      <c r="L518" s="3">
        <v>0</v>
      </c>
      <c r="M518" t="s">
        <v>77</v>
      </c>
      <c r="N518" t="s">
        <v>1082</v>
      </c>
    </row>
    <row r="519" spans="1:14" x14ac:dyDescent="0.25">
      <c r="A519" t="s">
        <v>1083</v>
      </c>
      <c r="B519" s="10">
        <v>46139</v>
      </c>
      <c r="C519" t="str">
        <f t="shared" si="9"/>
        <v>April</v>
      </c>
      <c r="D519" t="s">
        <v>92</v>
      </c>
      <c r="E519" t="s">
        <v>93</v>
      </c>
      <c r="F519" t="s">
        <v>16</v>
      </c>
      <c r="G519" t="s">
        <v>65</v>
      </c>
      <c r="H519" t="s">
        <v>66</v>
      </c>
      <c r="I519" s="2">
        <v>11</v>
      </c>
      <c r="J519" s="2">
        <v>1500000</v>
      </c>
      <c r="K519" s="2">
        <v>16500000</v>
      </c>
      <c r="L519" s="3">
        <v>0.05</v>
      </c>
      <c r="M519" t="s">
        <v>19</v>
      </c>
      <c r="N519" t="s">
        <v>1084</v>
      </c>
    </row>
    <row r="520" spans="1:14" x14ac:dyDescent="0.25">
      <c r="A520" t="s">
        <v>1085</v>
      </c>
      <c r="B520" s="10">
        <v>46204</v>
      </c>
      <c r="C520" t="str">
        <f t="shared" si="9"/>
        <v>July</v>
      </c>
      <c r="D520" t="s">
        <v>39</v>
      </c>
      <c r="E520" t="s">
        <v>40</v>
      </c>
      <c r="F520" t="s">
        <v>41</v>
      </c>
      <c r="G520" t="s">
        <v>17</v>
      </c>
      <c r="H520" t="s">
        <v>18</v>
      </c>
      <c r="I520" s="2">
        <v>3</v>
      </c>
      <c r="J520" s="2">
        <v>12000000</v>
      </c>
      <c r="K520" s="2">
        <v>36000000</v>
      </c>
      <c r="L520" s="3">
        <v>0.15</v>
      </c>
      <c r="M520" t="s">
        <v>19</v>
      </c>
      <c r="N520" t="s">
        <v>1086</v>
      </c>
    </row>
    <row r="521" spans="1:14" x14ac:dyDescent="0.25">
      <c r="A521" t="s">
        <v>1087</v>
      </c>
      <c r="B521" s="10">
        <v>46155</v>
      </c>
      <c r="C521" t="str">
        <f t="shared" si="9"/>
        <v>May</v>
      </c>
      <c r="D521" t="s">
        <v>58</v>
      </c>
      <c r="E521" t="s">
        <v>59</v>
      </c>
      <c r="F521" t="s">
        <v>28</v>
      </c>
      <c r="G521" t="s">
        <v>29</v>
      </c>
      <c r="H521" t="s">
        <v>30</v>
      </c>
      <c r="I521" s="2">
        <v>6</v>
      </c>
      <c r="J521" s="2">
        <v>5500000</v>
      </c>
      <c r="K521" s="2">
        <v>33000000</v>
      </c>
      <c r="L521" s="3">
        <v>0.05</v>
      </c>
      <c r="M521" t="s">
        <v>51</v>
      </c>
      <c r="N521" t="s">
        <v>1088</v>
      </c>
    </row>
    <row r="522" spans="1:14" x14ac:dyDescent="0.25">
      <c r="A522" t="s">
        <v>1089</v>
      </c>
      <c r="B522" s="10">
        <v>46091</v>
      </c>
      <c r="C522" t="str">
        <f t="shared" si="9"/>
        <v>March</v>
      </c>
      <c r="D522" t="s">
        <v>14</v>
      </c>
      <c r="E522" t="s">
        <v>15</v>
      </c>
      <c r="F522" t="s">
        <v>16</v>
      </c>
      <c r="G522" t="s">
        <v>17</v>
      </c>
      <c r="H522" t="s">
        <v>18</v>
      </c>
      <c r="I522" s="2">
        <v>6</v>
      </c>
      <c r="J522" s="2">
        <v>3500000</v>
      </c>
      <c r="K522" s="2">
        <v>21000000</v>
      </c>
      <c r="L522" s="3">
        <v>0.15</v>
      </c>
      <c r="M522" t="s">
        <v>19</v>
      </c>
      <c r="N522" t="s">
        <v>1090</v>
      </c>
    </row>
    <row r="523" spans="1:14" x14ac:dyDescent="0.25">
      <c r="A523" t="s">
        <v>1091</v>
      </c>
      <c r="B523" s="10">
        <v>46039</v>
      </c>
      <c r="C523" t="str">
        <f t="shared" si="9"/>
        <v>January</v>
      </c>
      <c r="D523" t="s">
        <v>58</v>
      </c>
      <c r="E523" t="s">
        <v>59</v>
      </c>
      <c r="F523" t="s">
        <v>28</v>
      </c>
      <c r="G523" t="s">
        <v>22</v>
      </c>
      <c r="H523" t="s">
        <v>23</v>
      </c>
      <c r="I523" s="2">
        <v>11</v>
      </c>
      <c r="J523" s="2">
        <v>5500000</v>
      </c>
      <c r="K523" s="2">
        <v>60500000</v>
      </c>
      <c r="L523" s="3">
        <v>0</v>
      </c>
      <c r="M523" t="s">
        <v>77</v>
      </c>
      <c r="N523" t="s">
        <v>1092</v>
      </c>
    </row>
    <row r="524" spans="1:14" x14ac:dyDescent="0.25">
      <c r="A524" t="s">
        <v>1093</v>
      </c>
      <c r="B524" s="10">
        <v>46153</v>
      </c>
      <c r="C524" t="str">
        <f t="shared" si="9"/>
        <v>May</v>
      </c>
      <c r="D524" t="s">
        <v>46</v>
      </c>
      <c r="E524" t="s">
        <v>47</v>
      </c>
      <c r="F524" t="s">
        <v>48</v>
      </c>
      <c r="G524" t="s">
        <v>17</v>
      </c>
      <c r="H524" t="s">
        <v>18</v>
      </c>
      <c r="I524" s="2">
        <v>8</v>
      </c>
      <c r="J524" s="2">
        <v>750000</v>
      </c>
      <c r="K524" s="2">
        <v>6000000</v>
      </c>
      <c r="L524" s="3">
        <v>0.05</v>
      </c>
      <c r="M524" t="s">
        <v>19</v>
      </c>
      <c r="N524" t="s">
        <v>1094</v>
      </c>
    </row>
    <row r="525" spans="1:14" x14ac:dyDescent="0.25">
      <c r="A525" t="s">
        <v>1095</v>
      </c>
      <c r="B525" s="10">
        <v>46088</v>
      </c>
      <c r="C525" t="str">
        <f t="shared" si="9"/>
        <v>March</v>
      </c>
      <c r="D525" t="s">
        <v>14</v>
      </c>
      <c r="E525" t="s">
        <v>15</v>
      </c>
      <c r="F525" t="s">
        <v>16</v>
      </c>
      <c r="G525" t="s">
        <v>22</v>
      </c>
      <c r="H525" t="s">
        <v>23</v>
      </c>
      <c r="I525" s="2">
        <v>11</v>
      </c>
      <c r="J525" s="2">
        <v>3500000</v>
      </c>
      <c r="K525" s="2">
        <v>38500000</v>
      </c>
      <c r="L525" s="3">
        <v>0</v>
      </c>
      <c r="M525" t="s">
        <v>19</v>
      </c>
      <c r="N525" t="s">
        <v>1096</v>
      </c>
    </row>
    <row r="526" spans="1:14" x14ac:dyDescent="0.25">
      <c r="A526" t="s">
        <v>1097</v>
      </c>
      <c r="B526" s="10">
        <v>46153</v>
      </c>
      <c r="C526" t="str">
        <f t="shared" si="9"/>
        <v>May</v>
      </c>
      <c r="D526" t="s">
        <v>92</v>
      </c>
      <c r="E526" t="s">
        <v>93</v>
      </c>
      <c r="F526" t="s">
        <v>16</v>
      </c>
      <c r="G526" t="s">
        <v>17</v>
      </c>
      <c r="H526" t="s">
        <v>18</v>
      </c>
      <c r="I526" s="2">
        <v>14</v>
      </c>
      <c r="J526" s="2">
        <v>1500000</v>
      </c>
      <c r="K526" s="2">
        <v>21000000</v>
      </c>
      <c r="L526" s="3">
        <v>0</v>
      </c>
      <c r="M526" t="s">
        <v>19</v>
      </c>
      <c r="N526" t="s">
        <v>1098</v>
      </c>
    </row>
    <row r="527" spans="1:14" x14ac:dyDescent="0.25">
      <c r="A527" t="s">
        <v>1099</v>
      </c>
      <c r="B527" s="10">
        <v>46143</v>
      </c>
      <c r="C527" t="str">
        <f t="shared" si="9"/>
        <v>May</v>
      </c>
      <c r="D527" t="s">
        <v>46</v>
      </c>
      <c r="E527" t="s">
        <v>47</v>
      </c>
      <c r="F527" t="s">
        <v>48</v>
      </c>
      <c r="G527" t="s">
        <v>42</v>
      </c>
      <c r="H527" t="s">
        <v>43</v>
      </c>
      <c r="I527" s="2">
        <v>15</v>
      </c>
      <c r="J527" s="2">
        <v>750000</v>
      </c>
      <c r="K527" s="2">
        <v>11250000</v>
      </c>
      <c r="L527" s="3">
        <v>0.05</v>
      </c>
      <c r="M527" t="s">
        <v>19</v>
      </c>
      <c r="N527" t="s">
        <v>1100</v>
      </c>
    </row>
    <row r="528" spans="1:14" x14ac:dyDescent="0.25">
      <c r="A528" t="s">
        <v>1101</v>
      </c>
      <c r="B528" s="10">
        <v>46032</v>
      </c>
      <c r="C528" t="str">
        <f t="shared" si="9"/>
        <v>January</v>
      </c>
      <c r="D528" t="s">
        <v>34</v>
      </c>
      <c r="E528" t="s">
        <v>35</v>
      </c>
      <c r="F528" t="s">
        <v>36</v>
      </c>
      <c r="G528" t="s">
        <v>29</v>
      </c>
      <c r="H528" t="s">
        <v>30</v>
      </c>
      <c r="I528" s="2">
        <v>6</v>
      </c>
      <c r="J528" s="2">
        <v>2000000</v>
      </c>
      <c r="K528" s="2">
        <v>12000000</v>
      </c>
      <c r="L528" s="3">
        <v>0.05</v>
      </c>
      <c r="M528" t="s">
        <v>77</v>
      </c>
      <c r="N528" t="s">
        <v>1102</v>
      </c>
    </row>
    <row r="529" spans="1:14" x14ac:dyDescent="0.25">
      <c r="A529" t="s">
        <v>1103</v>
      </c>
      <c r="B529" s="10">
        <v>46104</v>
      </c>
      <c r="C529" t="str">
        <f t="shared" si="9"/>
        <v>March</v>
      </c>
      <c r="D529" t="s">
        <v>58</v>
      </c>
      <c r="E529" t="s">
        <v>59</v>
      </c>
      <c r="F529" t="s">
        <v>28</v>
      </c>
      <c r="G529" t="s">
        <v>17</v>
      </c>
      <c r="H529" t="s">
        <v>18</v>
      </c>
      <c r="I529" s="2">
        <v>10</v>
      </c>
      <c r="J529" s="2">
        <v>5500000</v>
      </c>
      <c r="K529" s="2">
        <v>55000000</v>
      </c>
      <c r="L529" s="3">
        <v>0.1</v>
      </c>
      <c r="M529" t="s">
        <v>19</v>
      </c>
      <c r="N529" t="s">
        <v>1104</v>
      </c>
    </row>
    <row r="530" spans="1:14" x14ac:dyDescent="0.25">
      <c r="A530" t="s">
        <v>1105</v>
      </c>
      <c r="B530" s="10">
        <v>46195</v>
      </c>
      <c r="C530" t="str">
        <f t="shared" si="9"/>
        <v>June</v>
      </c>
      <c r="D530" t="s">
        <v>92</v>
      </c>
      <c r="E530" t="s">
        <v>93</v>
      </c>
      <c r="F530" t="s">
        <v>16</v>
      </c>
      <c r="G530" t="s">
        <v>29</v>
      </c>
      <c r="H530" t="s">
        <v>30</v>
      </c>
      <c r="I530" s="2">
        <v>4</v>
      </c>
      <c r="J530" s="2">
        <v>1500000</v>
      </c>
      <c r="K530" s="2">
        <v>6000000</v>
      </c>
      <c r="L530" s="3">
        <v>0</v>
      </c>
      <c r="M530" t="s">
        <v>77</v>
      </c>
      <c r="N530" t="s">
        <v>1106</v>
      </c>
    </row>
    <row r="531" spans="1:14" x14ac:dyDescent="0.25">
      <c r="A531" t="s">
        <v>1107</v>
      </c>
      <c r="B531" s="10">
        <v>46142</v>
      </c>
      <c r="C531" t="str">
        <f t="shared" si="9"/>
        <v>April</v>
      </c>
      <c r="D531" t="s">
        <v>58</v>
      </c>
      <c r="E531" t="s">
        <v>59</v>
      </c>
      <c r="F531" t="s">
        <v>28</v>
      </c>
      <c r="G531" t="s">
        <v>65</v>
      </c>
      <c r="H531" t="s">
        <v>66</v>
      </c>
      <c r="I531" s="2">
        <v>6</v>
      </c>
      <c r="J531" s="2">
        <v>5500000</v>
      </c>
      <c r="K531" s="2">
        <v>33000000</v>
      </c>
      <c r="L531" s="3">
        <v>0</v>
      </c>
      <c r="M531" t="s">
        <v>31</v>
      </c>
      <c r="N531" t="s">
        <v>1108</v>
      </c>
    </row>
    <row r="532" spans="1:14" x14ac:dyDescent="0.25">
      <c r="A532" t="s">
        <v>1109</v>
      </c>
      <c r="B532" s="10">
        <v>46025</v>
      </c>
      <c r="C532" t="str">
        <f t="shared" si="9"/>
        <v>January</v>
      </c>
      <c r="D532" t="s">
        <v>46</v>
      </c>
      <c r="E532" t="s">
        <v>47</v>
      </c>
      <c r="F532" t="s">
        <v>48</v>
      </c>
      <c r="G532" t="s">
        <v>29</v>
      </c>
      <c r="H532" t="s">
        <v>30</v>
      </c>
      <c r="I532" s="2">
        <v>5</v>
      </c>
      <c r="J532" s="2">
        <v>750000</v>
      </c>
      <c r="K532" s="2">
        <v>3750000</v>
      </c>
      <c r="L532" s="3">
        <v>0.1</v>
      </c>
      <c r="M532" t="s">
        <v>51</v>
      </c>
      <c r="N532" t="s">
        <v>1110</v>
      </c>
    </row>
    <row r="533" spans="1:14" x14ac:dyDescent="0.25">
      <c r="A533" t="s">
        <v>1111</v>
      </c>
      <c r="B533" s="10">
        <v>46085</v>
      </c>
      <c r="C533" t="str">
        <f t="shared" si="9"/>
        <v>March</v>
      </c>
      <c r="D533" t="s">
        <v>62</v>
      </c>
      <c r="E533" t="s">
        <v>63</v>
      </c>
      <c r="F533" t="s">
        <v>64</v>
      </c>
      <c r="G533" t="s">
        <v>65</v>
      </c>
      <c r="H533" t="s">
        <v>66</v>
      </c>
      <c r="I533" s="2">
        <v>10</v>
      </c>
      <c r="J533" s="2">
        <v>4000000</v>
      </c>
      <c r="K533" s="2">
        <v>40000000</v>
      </c>
      <c r="L533" s="3">
        <v>0.15</v>
      </c>
      <c r="M533" t="s">
        <v>19</v>
      </c>
      <c r="N533" t="s">
        <v>1112</v>
      </c>
    </row>
    <row r="534" spans="1:14" x14ac:dyDescent="0.25">
      <c r="A534" t="s">
        <v>1113</v>
      </c>
      <c r="B534" s="10">
        <v>46162</v>
      </c>
      <c r="C534" t="str">
        <f t="shared" si="9"/>
        <v>May</v>
      </c>
      <c r="D534" t="s">
        <v>26</v>
      </c>
      <c r="E534" t="s">
        <v>27</v>
      </c>
      <c r="F534" t="s">
        <v>28</v>
      </c>
      <c r="G534" t="s">
        <v>29</v>
      </c>
      <c r="H534" t="s">
        <v>30</v>
      </c>
      <c r="I534" s="2">
        <v>1</v>
      </c>
      <c r="J534" s="2">
        <v>2500000</v>
      </c>
      <c r="K534" s="2">
        <v>2500000</v>
      </c>
      <c r="L534" s="3">
        <v>0.15</v>
      </c>
      <c r="M534" t="s">
        <v>19</v>
      </c>
      <c r="N534" t="s">
        <v>1114</v>
      </c>
    </row>
    <row r="535" spans="1:14" x14ac:dyDescent="0.25">
      <c r="A535" t="s">
        <v>1115</v>
      </c>
      <c r="B535" s="10">
        <v>46161</v>
      </c>
      <c r="C535" t="str">
        <f t="shared" si="9"/>
        <v>May</v>
      </c>
      <c r="D535" t="s">
        <v>46</v>
      </c>
      <c r="E535" t="s">
        <v>47</v>
      </c>
      <c r="F535" t="s">
        <v>48</v>
      </c>
      <c r="G535" t="s">
        <v>17</v>
      </c>
      <c r="H535" t="s">
        <v>18</v>
      </c>
      <c r="I535" s="2">
        <v>6</v>
      </c>
      <c r="J535" s="2">
        <v>750000</v>
      </c>
      <c r="K535" s="2">
        <v>4500000</v>
      </c>
      <c r="L535" s="3">
        <v>0</v>
      </c>
      <c r="M535" t="s">
        <v>51</v>
      </c>
      <c r="N535" t="s">
        <v>1116</v>
      </c>
    </row>
    <row r="536" spans="1:14" x14ac:dyDescent="0.25">
      <c r="A536" t="s">
        <v>1117</v>
      </c>
      <c r="B536" s="10">
        <v>46240</v>
      </c>
      <c r="C536" t="str">
        <f t="shared" si="9"/>
        <v>August</v>
      </c>
      <c r="D536" t="s">
        <v>58</v>
      </c>
      <c r="E536" t="s">
        <v>59</v>
      </c>
      <c r="F536" t="s">
        <v>28</v>
      </c>
      <c r="G536" t="s">
        <v>17</v>
      </c>
      <c r="H536" t="s">
        <v>18</v>
      </c>
      <c r="I536" s="2">
        <v>4</v>
      </c>
      <c r="J536" s="2">
        <v>5500000</v>
      </c>
      <c r="K536" s="2">
        <v>22000000</v>
      </c>
      <c r="L536" s="3">
        <v>0.05</v>
      </c>
      <c r="M536" t="s">
        <v>77</v>
      </c>
      <c r="N536" t="s">
        <v>1118</v>
      </c>
    </row>
    <row r="537" spans="1:14" x14ac:dyDescent="0.25">
      <c r="A537" t="s">
        <v>1119</v>
      </c>
      <c r="B537" s="10">
        <v>46038</v>
      </c>
      <c r="C537" t="str">
        <f t="shared" si="9"/>
        <v>January</v>
      </c>
      <c r="D537" t="s">
        <v>39</v>
      </c>
      <c r="E537" t="s">
        <v>40</v>
      </c>
      <c r="F537" t="s">
        <v>41</v>
      </c>
      <c r="G537" t="s">
        <v>65</v>
      </c>
      <c r="H537" t="s">
        <v>66</v>
      </c>
      <c r="I537" s="2">
        <v>2</v>
      </c>
      <c r="J537" s="2">
        <v>12000000</v>
      </c>
      <c r="K537" s="2">
        <v>24000000</v>
      </c>
      <c r="L537" s="3">
        <v>0</v>
      </c>
      <c r="M537" t="s">
        <v>19</v>
      </c>
      <c r="N537" t="s">
        <v>1120</v>
      </c>
    </row>
    <row r="538" spans="1:14" x14ac:dyDescent="0.25">
      <c r="A538" t="s">
        <v>1121</v>
      </c>
      <c r="B538" s="10">
        <v>46156</v>
      </c>
      <c r="C538" t="str">
        <f t="shared" si="9"/>
        <v>May</v>
      </c>
      <c r="D538" t="s">
        <v>34</v>
      </c>
      <c r="E538" t="s">
        <v>35</v>
      </c>
      <c r="F538" t="s">
        <v>36</v>
      </c>
      <c r="G538" t="s">
        <v>65</v>
      </c>
      <c r="H538" t="s">
        <v>66</v>
      </c>
      <c r="I538" s="2">
        <v>8</v>
      </c>
      <c r="J538" s="2">
        <v>2000000</v>
      </c>
      <c r="K538" s="2">
        <v>16000000</v>
      </c>
      <c r="L538" s="3">
        <v>0</v>
      </c>
      <c r="M538" t="s">
        <v>31</v>
      </c>
      <c r="N538" t="s">
        <v>1122</v>
      </c>
    </row>
    <row r="539" spans="1:14" x14ac:dyDescent="0.25">
      <c r="A539" t="s">
        <v>1123</v>
      </c>
      <c r="B539" s="10">
        <v>46152</v>
      </c>
      <c r="C539" t="str">
        <f t="shared" si="9"/>
        <v>May</v>
      </c>
      <c r="D539" t="s">
        <v>39</v>
      </c>
      <c r="E539" t="s">
        <v>40</v>
      </c>
      <c r="F539" t="s">
        <v>41</v>
      </c>
      <c r="G539" t="s">
        <v>42</v>
      </c>
      <c r="H539" t="s">
        <v>43</v>
      </c>
      <c r="I539" s="2">
        <v>2</v>
      </c>
      <c r="J539" s="2">
        <v>12000000</v>
      </c>
      <c r="K539" s="2">
        <v>24000000</v>
      </c>
      <c r="L539" s="3">
        <v>0</v>
      </c>
      <c r="M539" t="s">
        <v>77</v>
      </c>
      <c r="N539" t="s">
        <v>1124</v>
      </c>
    </row>
    <row r="540" spans="1:14" x14ac:dyDescent="0.25">
      <c r="A540" t="s">
        <v>1125</v>
      </c>
      <c r="B540" s="10">
        <v>46056</v>
      </c>
      <c r="C540" t="str">
        <f t="shared" si="9"/>
        <v>February</v>
      </c>
      <c r="D540" t="s">
        <v>26</v>
      </c>
      <c r="E540" t="s">
        <v>27</v>
      </c>
      <c r="F540" t="s">
        <v>28</v>
      </c>
      <c r="G540" t="s">
        <v>65</v>
      </c>
      <c r="H540" t="s">
        <v>66</v>
      </c>
      <c r="I540" s="2">
        <v>5</v>
      </c>
      <c r="J540" s="2">
        <v>2500000</v>
      </c>
      <c r="K540" s="2">
        <v>12500000</v>
      </c>
      <c r="L540" s="3">
        <v>0.1</v>
      </c>
      <c r="M540" t="s">
        <v>77</v>
      </c>
      <c r="N540" t="s">
        <v>1126</v>
      </c>
    </row>
    <row r="541" spans="1:14" x14ac:dyDescent="0.25">
      <c r="A541" t="s">
        <v>1127</v>
      </c>
      <c r="B541" s="10">
        <v>46235</v>
      </c>
      <c r="C541" t="str">
        <f t="shared" si="9"/>
        <v>August</v>
      </c>
      <c r="D541" t="s">
        <v>46</v>
      </c>
      <c r="E541" t="s">
        <v>47</v>
      </c>
      <c r="F541" t="s">
        <v>48</v>
      </c>
      <c r="G541" t="s">
        <v>65</v>
      </c>
      <c r="H541" t="s">
        <v>66</v>
      </c>
      <c r="I541" s="2">
        <v>8</v>
      </c>
      <c r="J541" s="2">
        <v>750000</v>
      </c>
      <c r="K541" s="2">
        <v>6000000</v>
      </c>
      <c r="L541" s="3">
        <v>0.1</v>
      </c>
      <c r="M541" t="s">
        <v>19</v>
      </c>
      <c r="N541" t="s">
        <v>1128</v>
      </c>
    </row>
    <row r="542" spans="1:14" x14ac:dyDescent="0.25">
      <c r="A542" t="s">
        <v>1129</v>
      </c>
      <c r="B542" s="10">
        <v>46074</v>
      </c>
      <c r="C542" t="str">
        <f t="shared" si="9"/>
        <v>February</v>
      </c>
      <c r="D542" t="s">
        <v>39</v>
      </c>
      <c r="E542" t="s">
        <v>40</v>
      </c>
      <c r="F542" t="s">
        <v>41</v>
      </c>
      <c r="G542" t="s">
        <v>22</v>
      </c>
      <c r="H542" t="s">
        <v>23</v>
      </c>
      <c r="I542" s="2">
        <v>2</v>
      </c>
      <c r="J542" s="2">
        <v>12000000</v>
      </c>
      <c r="K542" s="2">
        <v>24000000</v>
      </c>
      <c r="L542" s="3">
        <v>0.05</v>
      </c>
      <c r="M542" t="s">
        <v>19</v>
      </c>
      <c r="N542" t="s">
        <v>1130</v>
      </c>
    </row>
    <row r="543" spans="1:14" x14ac:dyDescent="0.25">
      <c r="A543" t="s">
        <v>1131</v>
      </c>
      <c r="B543" s="10">
        <v>46138</v>
      </c>
      <c r="C543" t="str">
        <f t="shared" si="9"/>
        <v>April</v>
      </c>
      <c r="D543" t="s">
        <v>62</v>
      </c>
      <c r="E543" t="s">
        <v>63</v>
      </c>
      <c r="F543" t="s">
        <v>64</v>
      </c>
      <c r="G543" t="s">
        <v>65</v>
      </c>
      <c r="H543" t="s">
        <v>66</v>
      </c>
      <c r="I543" s="2">
        <v>7</v>
      </c>
      <c r="J543" s="2">
        <v>4000000</v>
      </c>
      <c r="K543" s="2">
        <v>28000000</v>
      </c>
      <c r="L543" s="3">
        <v>0</v>
      </c>
      <c r="M543" t="s">
        <v>31</v>
      </c>
      <c r="N543" t="s">
        <v>1132</v>
      </c>
    </row>
    <row r="544" spans="1:14" x14ac:dyDescent="0.25">
      <c r="A544" t="s">
        <v>1133</v>
      </c>
      <c r="B544" s="10">
        <v>46220</v>
      </c>
      <c r="C544" t="str">
        <f t="shared" si="9"/>
        <v>July</v>
      </c>
      <c r="D544" t="s">
        <v>26</v>
      </c>
      <c r="E544" t="s">
        <v>27</v>
      </c>
      <c r="F544" t="s">
        <v>28</v>
      </c>
      <c r="G544" t="s">
        <v>42</v>
      </c>
      <c r="H544" t="s">
        <v>43</v>
      </c>
      <c r="I544" s="2">
        <v>5</v>
      </c>
      <c r="J544" s="2">
        <v>2500000</v>
      </c>
      <c r="K544" s="2">
        <v>12500000</v>
      </c>
      <c r="L544" s="3">
        <v>0.15</v>
      </c>
      <c r="M544" t="s">
        <v>19</v>
      </c>
      <c r="N544" t="s">
        <v>1134</v>
      </c>
    </row>
    <row r="545" spans="1:14" x14ac:dyDescent="0.25">
      <c r="A545" t="s">
        <v>1135</v>
      </c>
      <c r="B545" s="10">
        <v>46053</v>
      </c>
      <c r="C545" t="str">
        <f t="shared" si="9"/>
        <v>January</v>
      </c>
      <c r="D545" t="s">
        <v>14</v>
      </c>
      <c r="E545" t="s">
        <v>15</v>
      </c>
      <c r="F545" t="s">
        <v>16</v>
      </c>
      <c r="G545" t="s">
        <v>29</v>
      </c>
      <c r="H545" t="s">
        <v>30</v>
      </c>
      <c r="I545" s="2">
        <v>13</v>
      </c>
      <c r="J545" s="2">
        <v>3500000</v>
      </c>
      <c r="K545" s="2">
        <v>45500000</v>
      </c>
      <c r="L545" s="3">
        <v>0.1</v>
      </c>
      <c r="M545" t="s">
        <v>51</v>
      </c>
      <c r="N545" t="s">
        <v>1136</v>
      </c>
    </row>
    <row r="546" spans="1:14" x14ac:dyDescent="0.25">
      <c r="A546" t="s">
        <v>1137</v>
      </c>
      <c r="B546" s="10">
        <v>46177</v>
      </c>
      <c r="C546" t="str">
        <f t="shared" si="9"/>
        <v>June</v>
      </c>
      <c r="D546" t="s">
        <v>92</v>
      </c>
      <c r="E546" t="s">
        <v>93</v>
      </c>
      <c r="F546" t="s">
        <v>16</v>
      </c>
      <c r="G546" t="s">
        <v>29</v>
      </c>
      <c r="H546" t="s">
        <v>30</v>
      </c>
      <c r="I546" s="2">
        <v>14</v>
      </c>
      <c r="J546" s="2">
        <v>1500000</v>
      </c>
      <c r="K546" s="2">
        <v>21000000</v>
      </c>
      <c r="L546" s="3">
        <v>0.1</v>
      </c>
      <c r="M546" t="s">
        <v>19</v>
      </c>
      <c r="N546" t="s">
        <v>1138</v>
      </c>
    </row>
    <row r="547" spans="1:14" x14ac:dyDescent="0.25">
      <c r="A547" t="s">
        <v>1139</v>
      </c>
      <c r="B547" s="10">
        <v>46205</v>
      </c>
      <c r="C547" t="str">
        <f t="shared" si="9"/>
        <v>July</v>
      </c>
      <c r="D547" t="s">
        <v>26</v>
      </c>
      <c r="E547" t="s">
        <v>27</v>
      </c>
      <c r="F547" t="s">
        <v>28</v>
      </c>
      <c r="G547" t="s">
        <v>65</v>
      </c>
      <c r="H547" t="s">
        <v>66</v>
      </c>
      <c r="I547" s="2">
        <v>7</v>
      </c>
      <c r="J547" s="2">
        <v>2500000</v>
      </c>
      <c r="K547" s="2">
        <v>17500000</v>
      </c>
      <c r="L547" s="3">
        <v>0</v>
      </c>
      <c r="M547" t="s">
        <v>51</v>
      </c>
      <c r="N547" t="s">
        <v>1140</v>
      </c>
    </row>
    <row r="548" spans="1:14" x14ac:dyDescent="0.25">
      <c r="A548" t="s">
        <v>1141</v>
      </c>
      <c r="B548" s="10">
        <v>46089</v>
      </c>
      <c r="C548" t="str">
        <f t="shared" si="9"/>
        <v>March</v>
      </c>
      <c r="D548" t="s">
        <v>39</v>
      </c>
      <c r="E548" t="s">
        <v>40</v>
      </c>
      <c r="F548" t="s">
        <v>41</v>
      </c>
      <c r="G548" t="s">
        <v>17</v>
      </c>
      <c r="H548" t="s">
        <v>18</v>
      </c>
      <c r="I548" s="2">
        <v>7</v>
      </c>
      <c r="J548" s="2">
        <v>12000000</v>
      </c>
      <c r="K548" s="2">
        <v>84000000</v>
      </c>
      <c r="L548" s="3">
        <v>0.15</v>
      </c>
      <c r="M548" t="s">
        <v>31</v>
      </c>
      <c r="N548" t="s">
        <v>1142</v>
      </c>
    </row>
    <row r="549" spans="1:14" x14ac:dyDescent="0.25">
      <c r="A549" t="s">
        <v>1143</v>
      </c>
      <c r="B549" s="10">
        <v>46163</v>
      </c>
      <c r="C549" t="str">
        <f t="shared" si="9"/>
        <v>May</v>
      </c>
      <c r="D549" t="s">
        <v>26</v>
      </c>
      <c r="E549" t="s">
        <v>27</v>
      </c>
      <c r="F549" t="s">
        <v>28</v>
      </c>
      <c r="G549" t="s">
        <v>17</v>
      </c>
      <c r="H549" t="s">
        <v>18</v>
      </c>
      <c r="I549" s="2">
        <v>8</v>
      </c>
      <c r="J549" s="2">
        <v>2500000</v>
      </c>
      <c r="K549" s="2">
        <v>20000000</v>
      </c>
      <c r="L549" s="3">
        <v>0</v>
      </c>
      <c r="M549" t="s">
        <v>19</v>
      </c>
      <c r="N549" t="s">
        <v>1144</v>
      </c>
    </row>
    <row r="550" spans="1:14" x14ac:dyDescent="0.25">
      <c r="A550" t="s">
        <v>1145</v>
      </c>
      <c r="B550" s="10">
        <v>46026</v>
      </c>
      <c r="C550" t="str">
        <f t="shared" si="9"/>
        <v>January</v>
      </c>
      <c r="D550" t="s">
        <v>92</v>
      </c>
      <c r="E550" t="s">
        <v>93</v>
      </c>
      <c r="F550" t="s">
        <v>16</v>
      </c>
      <c r="G550" t="s">
        <v>29</v>
      </c>
      <c r="H550" t="s">
        <v>30</v>
      </c>
      <c r="I550" s="2">
        <v>3</v>
      </c>
      <c r="J550" s="2">
        <v>1500000</v>
      </c>
      <c r="K550" s="2">
        <v>4500000</v>
      </c>
      <c r="L550" s="3">
        <v>0.05</v>
      </c>
      <c r="M550" t="s">
        <v>77</v>
      </c>
      <c r="N550" t="s">
        <v>1146</v>
      </c>
    </row>
    <row r="551" spans="1:14" x14ac:dyDescent="0.25">
      <c r="A551" t="s">
        <v>1147</v>
      </c>
      <c r="B551" s="10">
        <v>46198</v>
      </c>
      <c r="C551" t="str">
        <f t="shared" si="9"/>
        <v>June</v>
      </c>
      <c r="D551" t="s">
        <v>14</v>
      </c>
      <c r="E551" t="s">
        <v>15</v>
      </c>
      <c r="F551" t="s">
        <v>16</v>
      </c>
      <c r="G551" t="s">
        <v>22</v>
      </c>
      <c r="H551" t="s">
        <v>23</v>
      </c>
      <c r="I551" s="2">
        <v>10</v>
      </c>
      <c r="J551" s="2">
        <v>3500000</v>
      </c>
      <c r="K551" s="2">
        <v>35000000</v>
      </c>
      <c r="L551" s="3">
        <v>0.1</v>
      </c>
      <c r="M551" t="s">
        <v>19</v>
      </c>
      <c r="N551" t="s">
        <v>1148</v>
      </c>
    </row>
    <row r="552" spans="1:14" x14ac:dyDescent="0.25">
      <c r="A552" t="s">
        <v>1149</v>
      </c>
      <c r="B552" s="10">
        <v>46039</v>
      </c>
      <c r="C552" t="str">
        <f t="shared" si="9"/>
        <v>January</v>
      </c>
      <c r="D552" t="s">
        <v>26</v>
      </c>
      <c r="E552" t="s">
        <v>27</v>
      </c>
      <c r="F552" t="s">
        <v>28</v>
      </c>
      <c r="G552" t="s">
        <v>42</v>
      </c>
      <c r="H552" t="s">
        <v>43</v>
      </c>
      <c r="I552" s="2">
        <v>13</v>
      </c>
      <c r="J552" s="2">
        <v>2500000</v>
      </c>
      <c r="K552" s="2">
        <v>32500000</v>
      </c>
      <c r="L552" s="3">
        <v>0.05</v>
      </c>
      <c r="M552" t="s">
        <v>19</v>
      </c>
      <c r="N552" t="s">
        <v>1150</v>
      </c>
    </row>
    <row r="553" spans="1:14" x14ac:dyDescent="0.25">
      <c r="A553" t="s">
        <v>1151</v>
      </c>
      <c r="B553" s="10">
        <v>46235</v>
      </c>
      <c r="C553" t="str">
        <f t="shared" si="9"/>
        <v>August</v>
      </c>
      <c r="D553" t="s">
        <v>46</v>
      </c>
      <c r="E553" t="s">
        <v>47</v>
      </c>
      <c r="F553" t="s">
        <v>48</v>
      </c>
      <c r="G553" t="s">
        <v>17</v>
      </c>
      <c r="H553" t="s">
        <v>18</v>
      </c>
      <c r="I553" s="2">
        <v>1</v>
      </c>
      <c r="J553" s="2">
        <v>750000</v>
      </c>
      <c r="K553" s="2">
        <v>750000</v>
      </c>
      <c r="L553" s="3">
        <v>0.15</v>
      </c>
      <c r="M553" t="s">
        <v>19</v>
      </c>
      <c r="N553" t="s">
        <v>1152</v>
      </c>
    </row>
    <row r="554" spans="1:14" x14ac:dyDescent="0.25">
      <c r="A554" t="s">
        <v>1153</v>
      </c>
      <c r="B554" s="10">
        <v>46169</v>
      </c>
      <c r="C554" t="str">
        <f t="shared" si="9"/>
        <v>May</v>
      </c>
      <c r="D554" t="s">
        <v>34</v>
      </c>
      <c r="E554" t="s">
        <v>35</v>
      </c>
      <c r="F554" t="s">
        <v>36</v>
      </c>
      <c r="G554" t="s">
        <v>42</v>
      </c>
      <c r="H554" t="s">
        <v>43</v>
      </c>
      <c r="I554" s="2">
        <v>8</v>
      </c>
      <c r="J554" s="2">
        <v>2000000</v>
      </c>
      <c r="K554" s="2">
        <v>16000000</v>
      </c>
      <c r="L554" s="3">
        <v>0</v>
      </c>
      <c r="M554" t="s">
        <v>77</v>
      </c>
      <c r="N554" t="s">
        <v>1154</v>
      </c>
    </row>
    <row r="555" spans="1:14" x14ac:dyDescent="0.25">
      <c r="A555" t="s">
        <v>1155</v>
      </c>
      <c r="B555" s="10">
        <v>46132</v>
      </c>
      <c r="C555" t="str">
        <f t="shared" si="9"/>
        <v>April</v>
      </c>
      <c r="D555" t="s">
        <v>39</v>
      </c>
      <c r="E555" t="s">
        <v>40</v>
      </c>
      <c r="F555" t="s">
        <v>41</v>
      </c>
      <c r="G555" t="s">
        <v>65</v>
      </c>
      <c r="H555" t="s">
        <v>66</v>
      </c>
      <c r="I555" s="2">
        <v>4</v>
      </c>
      <c r="J555" s="2">
        <v>12000000</v>
      </c>
      <c r="K555" s="2">
        <v>48000000</v>
      </c>
      <c r="L555" s="3">
        <v>0.05</v>
      </c>
      <c r="M555" t="s">
        <v>19</v>
      </c>
      <c r="N555" t="s">
        <v>1156</v>
      </c>
    </row>
    <row r="556" spans="1:14" x14ac:dyDescent="0.25">
      <c r="A556" t="s">
        <v>1157</v>
      </c>
      <c r="B556" s="10">
        <v>46137</v>
      </c>
      <c r="C556" t="str">
        <f t="shared" si="9"/>
        <v>April</v>
      </c>
      <c r="D556" t="s">
        <v>39</v>
      </c>
      <c r="E556" t="s">
        <v>40</v>
      </c>
      <c r="F556" t="s">
        <v>41</v>
      </c>
      <c r="G556" t="s">
        <v>17</v>
      </c>
      <c r="H556" t="s">
        <v>18</v>
      </c>
      <c r="I556" s="2">
        <v>10</v>
      </c>
      <c r="J556" s="2">
        <v>12000000</v>
      </c>
      <c r="K556" s="2">
        <v>120000000</v>
      </c>
      <c r="L556" s="3">
        <v>0.05</v>
      </c>
      <c r="M556" t="s">
        <v>51</v>
      </c>
      <c r="N556" t="s">
        <v>1158</v>
      </c>
    </row>
    <row r="557" spans="1:14" x14ac:dyDescent="0.25">
      <c r="A557" t="s">
        <v>1159</v>
      </c>
      <c r="B557" s="10">
        <v>46150</v>
      </c>
      <c r="C557" t="str">
        <f t="shared" si="9"/>
        <v>May</v>
      </c>
      <c r="D557" t="s">
        <v>34</v>
      </c>
      <c r="E557" t="s">
        <v>35</v>
      </c>
      <c r="F557" t="s">
        <v>36</v>
      </c>
      <c r="G557" t="s">
        <v>22</v>
      </c>
      <c r="H557" t="s">
        <v>23</v>
      </c>
      <c r="I557" s="2">
        <v>8</v>
      </c>
      <c r="J557" s="2">
        <v>2000000</v>
      </c>
      <c r="K557" s="2">
        <v>16000000</v>
      </c>
      <c r="L557" s="3">
        <v>0</v>
      </c>
      <c r="M557" t="s">
        <v>19</v>
      </c>
      <c r="N557" t="s">
        <v>1160</v>
      </c>
    </row>
    <row r="558" spans="1:14" x14ac:dyDescent="0.25">
      <c r="A558" t="s">
        <v>1161</v>
      </c>
      <c r="B558" s="10">
        <v>46121</v>
      </c>
      <c r="C558" t="str">
        <f t="shared" si="9"/>
        <v>April</v>
      </c>
      <c r="D558" t="s">
        <v>39</v>
      </c>
      <c r="E558" t="s">
        <v>40</v>
      </c>
      <c r="F558" t="s">
        <v>41</v>
      </c>
      <c r="G558" t="s">
        <v>42</v>
      </c>
      <c r="H558" t="s">
        <v>43</v>
      </c>
      <c r="I558" s="2">
        <v>4</v>
      </c>
      <c r="J558" s="2">
        <v>12000000</v>
      </c>
      <c r="K558" s="2">
        <v>48000000</v>
      </c>
      <c r="L558" s="3">
        <v>0.05</v>
      </c>
      <c r="M558" t="s">
        <v>51</v>
      </c>
      <c r="N558" t="s">
        <v>1162</v>
      </c>
    </row>
    <row r="559" spans="1:14" x14ac:dyDescent="0.25">
      <c r="A559" t="s">
        <v>1163</v>
      </c>
      <c r="B559" s="10">
        <v>46162</v>
      </c>
      <c r="C559" t="str">
        <f t="shared" si="9"/>
        <v>May</v>
      </c>
      <c r="D559" t="s">
        <v>92</v>
      </c>
      <c r="E559" t="s">
        <v>93</v>
      </c>
      <c r="F559" t="s">
        <v>16</v>
      </c>
      <c r="G559" t="s">
        <v>42</v>
      </c>
      <c r="H559" t="s">
        <v>43</v>
      </c>
      <c r="I559" s="2">
        <v>13</v>
      </c>
      <c r="J559" s="2">
        <v>1500000</v>
      </c>
      <c r="K559" s="2">
        <v>19500000</v>
      </c>
      <c r="L559" s="3">
        <v>0.1</v>
      </c>
      <c r="M559" t="s">
        <v>77</v>
      </c>
      <c r="N559" t="s">
        <v>1164</v>
      </c>
    </row>
    <row r="560" spans="1:14" x14ac:dyDescent="0.25">
      <c r="A560" t="s">
        <v>1165</v>
      </c>
      <c r="B560" s="10">
        <v>46223</v>
      </c>
      <c r="C560" t="str">
        <f t="shared" si="9"/>
        <v>July</v>
      </c>
      <c r="D560" t="s">
        <v>62</v>
      </c>
      <c r="E560" t="s">
        <v>63</v>
      </c>
      <c r="F560" t="s">
        <v>64</v>
      </c>
      <c r="G560" t="s">
        <v>65</v>
      </c>
      <c r="H560" t="s">
        <v>66</v>
      </c>
      <c r="I560" s="2">
        <v>15</v>
      </c>
      <c r="J560" s="2">
        <v>4000000</v>
      </c>
      <c r="K560" s="2">
        <v>60000000</v>
      </c>
      <c r="L560" s="3">
        <v>0.1</v>
      </c>
      <c r="M560" t="s">
        <v>77</v>
      </c>
      <c r="N560" t="s">
        <v>1166</v>
      </c>
    </row>
    <row r="561" spans="1:14" x14ac:dyDescent="0.25">
      <c r="A561" t="s">
        <v>1167</v>
      </c>
      <c r="B561" s="10">
        <v>46069</v>
      </c>
      <c r="C561" t="str">
        <f t="shared" si="9"/>
        <v>February</v>
      </c>
      <c r="D561" t="s">
        <v>92</v>
      </c>
      <c r="E561" t="s">
        <v>93</v>
      </c>
      <c r="F561" t="s">
        <v>16</v>
      </c>
      <c r="G561" t="s">
        <v>65</v>
      </c>
      <c r="H561" t="s">
        <v>66</v>
      </c>
      <c r="I561" s="2">
        <v>10</v>
      </c>
      <c r="J561" s="2">
        <v>1500000</v>
      </c>
      <c r="K561" s="2">
        <v>15000000</v>
      </c>
      <c r="L561" s="3">
        <v>0.05</v>
      </c>
      <c r="M561" t="s">
        <v>19</v>
      </c>
      <c r="N561" t="s">
        <v>1168</v>
      </c>
    </row>
    <row r="562" spans="1:14" x14ac:dyDescent="0.25">
      <c r="A562" t="s">
        <v>1169</v>
      </c>
      <c r="B562" s="10">
        <v>46222</v>
      </c>
      <c r="C562" t="str">
        <f t="shared" si="9"/>
        <v>July</v>
      </c>
      <c r="D562" t="s">
        <v>58</v>
      </c>
      <c r="E562" t="s">
        <v>59</v>
      </c>
      <c r="F562" t="s">
        <v>28</v>
      </c>
      <c r="G562" t="s">
        <v>17</v>
      </c>
      <c r="H562" t="s">
        <v>18</v>
      </c>
      <c r="I562" s="2">
        <v>13</v>
      </c>
      <c r="J562" s="2">
        <v>5500000</v>
      </c>
      <c r="K562" s="2">
        <v>71500000</v>
      </c>
      <c r="L562" s="3">
        <v>0.15</v>
      </c>
      <c r="M562" t="s">
        <v>31</v>
      </c>
      <c r="N562" t="s">
        <v>1170</v>
      </c>
    </row>
    <row r="563" spans="1:14" x14ac:dyDescent="0.25">
      <c r="A563" t="s">
        <v>1171</v>
      </c>
      <c r="B563" s="10">
        <v>46219</v>
      </c>
      <c r="C563" t="str">
        <f t="shared" si="9"/>
        <v>July</v>
      </c>
      <c r="D563" t="s">
        <v>26</v>
      </c>
      <c r="E563" t="s">
        <v>27</v>
      </c>
      <c r="F563" t="s">
        <v>28</v>
      </c>
      <c r="G563" t="s">
        <v>29</v>
      </c>
      <c r="H563" t="s">
        <v>30</v>
      </c>
      <c r="I563" s="2">
        <v>2</v>
      </c>
      <c r="J563" s="2">
        <v>2500000</v>
      </c>
      <c r="K563" s="2">
        <v>5000000</v>
      </c>
      <c r="L563" s="3">
        <v>0.05</v>
      </c>
      <c r="M563" t="s">
        <v>51</v>
      </c>
      <c r="N563" t="s">
        <v>1172</v>
      </c>
    </row>
    <row r="564" spans="1:14" x14ac:dyDescent="0.25">
      <c r="A564" t="s">
        <v>1173</v>
      </c>
      <c r="B564" s="10">
        <v>46091</v>
      </c>
      <c r="C564" t="str">
        <f t="shared" si="9"/>
        <v>March</v>
      </c>
      <c r="D564" t="s">
        <v>92</v>
      </c>
      <c r="E564" t="s">
        <v>93</v>
      </c>
      <c r="F564" t="s">
        <v>16</v>
      </c>
      <c r="G564" t="s">
        <v>29</v>
      </c>
      <c r="H564" t="s">
        <v>30</v>
      </c>
      <c r="I564" s="2">
        <v>10</v>
      </c>
      <c r="J564" s="2">
        <v>1500000</v>
      </c>
      <c r="K564" s="2">
        <v>15000000</v>
      </c>
      <c r="L564" s="3">
        <v>0.15</v>
      </c>
      <c r="M564" t="s">
        <v>19</v>
      </c>
      <c r="N564" t="s">
        <v>1174</v>
      </c>
    </row>
    <row r="565" spans="1:14" x14ac:dyDescent="0.25">
      <c r="A565" t="s">
        <v>1175</v>
      </c>
      <c r="B565" s="10">
        <v>46239</v>
      </c>
      <c r="C565" t="str">
        <f t="shared" si="9"/>
        <v>August</v>
      </c>
      <c r="D565" t="s">
        <v>39</v>
      </c>
      <c r="E565" t="s">
        <v>40</v>
      </c>
      <c r="F565" t="s">
        <v>41</v>
      </c>
      <c r="G565" t="s">
        <v>29</v>
      </c>
      <c r="H565" t="s">
        <v>30</v>
      </c>
      <c r="I565" s="2">
        <v>4</v>
      </c>
      <c r="J565" s="2">
        <v>12000000</v>
      </c>
      <c r="K565" s="2">
        <v>48000000</v>
      </c>
      <c r="L565" s="3">
        <v>0.1</v>
      </c>
      <c r="M565" t="s">
        <v>51</v>
      </c>
      <c r="N565" t="s">
        <v>1176</v>
      </c>
    </row>
    <row r="566" spans="1:14" x14ac:dyDescent="0.25">
      <c r="A566" t="s">
        <v>1177</v>
      </c>
      <c r="B566" s="10">
        <v>46114</v>
      </c>
      <c r="C566" t="str">
        <f t="shared" si="9"/>
        <v>April</v>
      </c>
      <c r="D566" t="s">
        <v>92</v>
      </c>
      <c r="E566" t="s">
        <v>93</v>
      </c>
      <c r="F566" t="s">
        <v>16</v>
      </c>
      <c r="G566" t="s">
        <v>65</v>
      </c>
      <c r="H566" t="s">
        <v>66</v>
      </c>
      <c r="I566" s="2">
        <v>10</v>
      </c>
      <c r="J566" s="2">
        <v>1500000</v>
      </c>
      <c r="K566" s="2">
        <v>15000000</v>
      </c>
      <c r="L566" s="3">
        <v>0.05</v>
      </c>
      <c r="M566" t="s">
        <v>31</v>
      </c>
      <c r="N566" t="s">
        <v>1178</v>
      </c>
    </row>
    <row r="567" spans="1:14" x14ac:dyDescent="0.25">
      <c r="A567" t="s">
        <v>1179</v>
      </c>
      <c r="B567" s="10">
        <v>46237</v>
      </c>
      <c r="C567" t="str">
        <f t="shared" si="9"/>
        <v>August</v>
      </c>
      <c r="D567" t="s">
        <v>62</v>
      </c>
      <c r="E567" t="s">
        <v>63</v>
      </c>
      <c r="F567" t="s">
        <v>64</v>
      </c>
      <c r="G567" t="s">
        <v>22</v>
      </c>
      <c r="H567" t="s">
        <v>23</v>
      </c>
      <c r="I567" s="2">
        <v>5</v>
      </c>
      <c r="J567" s="2">
        <v>4000000</v>
      </c>
      <c r="K567" s="2">
        <v>20000000</v>
      </c>
      <c r="L567" s="3">
        <v>0.05</v>
      </c>
      <c r="M567" t="s">
        <v>77</v>
      </c>
      <c r="N567" t="s">
        <v>1180</v>
      </c>
    </row>
    <row r="568" spans="1:14" x14ac:dyDescent="0.25">
      <c r="A568" t="s">
        <v>1181</v>
      </c>
      <c r="B568" s="10">
        <v>46046</v>
      </c>
      <c r="C568" t="str">
        <f t="shared" si="9"/>
        <v>January</v>
      </c>
      <c r="D568" t="s">
        <v>92</v>
      </c>
      <c r="E568" t="s">
        <v>93</v>
      </c>
      <c r="F568" t="s">
        <v>16</v>
      </c>
      <c r="G568" t="s">
        <v>29</v>
      </c>
      <c r="H568" t="s">
        <v>30</v>
      </c>
      <c r="I568" s="2">
        <v>10</v>
      </c>
      <c r="J568" s="2">
        <v>1500000</v>
      </c>
      <c r="K568" s="2">
        <v>15000000</v>
      </c>
      <c r="L568" s="3">
        <v>0.05</v>
      </c>
      <c r="M568" t="s">
        <v>19</v>
      </c>
      <c r="N568" t="s">
        <v>1182</v>
      </c>
    </row>
    <row r="569" spans="1:14" x14ac:dyDescent="0.25">
      <c r="A569" t="s">
        <v>1183</v>
      </c>
      <c r="B569" s="10">
        <v>46145</v>
      </c>
      <c r="C569" t="str">
        <f t="shared" si="9"/>
        <v>May</v>
      </c>
      <c r="D569" t="s">
        <v>92</v>
      </c>
      <c r="E569" t="s">
        <v>93</v>
      </c>
      <c r="F569" t="s">
        <v>16</v>
      </c>
      <c r="G569" t="s">
        <v>65</v>
      </c>
      <c r="H569" t="s">
        <v>66</v>
      </c>
      <c r="I569" s="2">
        <v>15</v>
      </c>
      <c r="J569" s="2">
        <v>1500000</v>
      </c>
      <c r="K569" s="2">
        <v>22500000</v>
      </c>
      <c r="L569" s="3">
        <v>0.05</v>
      </c>
      <c r="M569" t="s">
        <v>19</v>
      </c>
      <c r="N569" t="s">
        <v>1184</v>
      </c>
    </row>
    <row r="570" spans="1:14" x14ac:dyDescent="0.25">
      <c r="A570" t="s">
        <v>1185</v>
      </c>
      <c r="B570" s="10">
        <v>46206</v>
      </c>
      <c r="C570" t="str">
        <f t="shared" si="9"/>
        <v>July</v>
      </c>
      <c r="D570" t="s">
        <v>39</v>
      </c>
      <c r="E570" t="s">
        <v>40</v>
      </c>
      <c r="F570" t="s">
        <v>41</v>
      </c>
      <c r="G570" t="s">
        <v>65</v>
      </c>
      <c r="H570" t="s">
        <v>66</v>
      </c>
      <c r="I570" s="2">
        <v>1</v>
      </c>
      <c r="J570" s="2">
        <v>12000000</v>
      </c>
      <c r="K570" s="2">
        <v>12000000</v>
      </c>
      <c r="L570" s="3">
        <v>0</v>
      </c>
      <c r="M570" t="s">
        <v>19</v>
      </c>
      <c r="N570" t="s">
        <v>1186</v>
      </c>
    </row>
    <row r="571" spans="1:14" x14ac:dyDescent="0.25">
      <c r="A571" t="s">
        <v>1187</v>
      </c>
      <c r="B571" s="10">
        <v>46203</v>
      </c>
      <c r="C571" t="str">
        <f t="shared" si="9"/>
        <v>June</v>
      </c>
      <c r="D571" t="s">
        <v>39</v>
      </c>
      <c r="E571" t="s">
        <v>40</v>
      </c>
      <c r="F571" t="s">
        <v>41</v>
      </c>
      <c r="G571" t="s">
        <v>17</v>
      </c>
      <c r="H571" t="s">
        <v>18</v>
      </c>
      <c r="I571" s="2">
        <v>14</v>
      </c>
      <c r="J571" s="2">
        <v>12000000</v>
      </c>
      <c r="K571" s="2">
        <v>168000000</v>
      </c>
      <c r="L571" s="3">
        <v>0.1</v>
      </c>
      <c r="M571" t="s">
        <v>19</v>
      </c>
      <c r="N571" t="s">
        <v>1188</v>
      </c>
    </row>
    <row r="572" spans="1:14" x14ac:dyDescent="0.25">
      <c r="A572" t="s">
        <v>1189</v>
      </c>
      <c r="B572" s="10">
        <v>46203</v>
      </c>
      <c r="C572" t="str">
        <f t="shared" si="9"/>
        <v>June</v>
      </c>
      <c r="D572" t="s">
        <v>34</v>
      </c>
      <c r="E572" t="s">
        <v>35</v>
      </c>
      <c r="F572" t="s">
        <v>36</v>
      </c>
      <c r="G572" t="s">
        <v>22</v>
      </c>
      <c r="H572" t="s">
        <v>23</v>
      </c>
      <c r="I572" s="2">
        <v>2</v>
      </c>
      <c r="J572" s="2">
        <v>2000000</v>
      </c>
      <c r="K572" s="2">
        <v>4000000</v>
      </c>
      <c r="L572" s="3">
        <v>0.1</v>
      </c>
      <c r="M572" t="s">
        <v>19</v>
      </c>
      <c r="N572" t="s">
        <v>1190</v>
      </c>
    </row>
    <row r="573" spans="1:14" x14ac:dyDescent="0.25">
      <c r="A573" t="s">
        <v>1191</v>
      </c>
      <c r="B573" s="10">
        <v>46057</v>
      </c>
      <c r="C573" t="str">
        <f t="shared" si="9"/>
        <v>February</v>
      </c>
      <c r="D573" t="s">
        <v>39</v>
      </c>
      <c r="E573" t="s">
        <v>40</v>
      </c>
      <c r="F573" t="s">
        <v>41</v>
      </c>
      <c r="G573" t="s">
        <v>42</v>
      </c>
      <c r="H573" t="s">
        <v>43</v>
      </c>
      <c r="I573" s="2">
        <v>13</v>
      </c>
      <c r="J573" s="2">
        <v>12000000</v>
      </c>
      <c r="K573" s="2">
        <v>156000000</v>
      </c>
      <c r="L573" s="3">
        <v>0.15</v>
      </c>
      <c r="M573" t="s">
        <v>51</v>
      </c>
      <c r="N573" t="s">
        <v>1192</v>
      </c>
    </row>
    <row r="574" spans="1:14" x14ac:dyDescent="0.25">
      <c r="A574" t="s">
        <v>1193</v>
      </c>
      <c r="B574" s="10">
        <v>46067</v>
      </c>
      <c r="C574" t="str">
        <f t="shared" si="9"/>
        <v>February</v>
      </c>
      <c r="D574" t="s">
        <v>46</v>
      </c>
      <c r="E574" t="s">
        <v>47</v>
      </c>
      <c r="F574" t="s">
        <v>48</v>
      </c>
      <c r="G574" t="s">
        <v>29</v>
      </c>
      <c r="H574" t="s">
        <v>30</v>
      </c>
      <c r="I574" s="2">
        <v>11</v>
      </c>
      <c r="J574" s="2">
        <v>750000</v>
      </c>
      <c r="K574" s="2">
        <v>8250000</v>
      </c>
      <c r="L574" s="3">
        <v>0.05</v>
      </c>
      <c r="M574" t="s">
        <v>77</v>
      </c>
      <c r="N574" t="s">
        <v>1194</v>
      </c>
    </row>
    <row r="575" spans="1:14" x14ac:dyDescent="0.25">
      <c r="A575" t="s">
        <v>1195</v>
      </c>
      <c r="B575" s="10">
        <v>46210</v>
      </c>
      <c r="C575" t="str">
        <f t="shared" si="9"/>
        <v>July</v>
      </c>
      <c r="D575" t="s">
        <v>58</v>
      </c>
      <c r="E575" t="s">
        <v>59</v>
      </c>
      <c r="F575" t="s">
        <v>28</v>
      </c>
      <c r="G575" t="s">
        <v>29</v>
      </c>
      <c r="H575" t="s">
        <v>30</v>
      </c>
      <c r="I575" s="2">
        <v>3</v>
      </c>
      <c r="J575" s="2">
        <v>5500000</v>
      </c>
      <c r="K575" s="2">
        <v>16500000</v>
      </c>
      <c r="L575" s="3">
        <v>0</v>
      </c>
      <c r="M575" t="s">
        <v>51</v>
      </c>
      <c r="N575" t="s">
        <v>1196</v>
      </c>
    </row>
    <row r="576" spans="1:14" x14ac:dyDescent="0.25">
      <c r="A576" t="s">
        <v>1197</v>
      </c>
      <c r="B576" s="10">
        <v>46123</v>
      </c>
      <c r="C576" t="str">
        <f t="shared" si="9"/>
        <v>April</v>
      </c>
      <c r="D576" t="s">
        <v>92</v>
      </c>
      <c r="E576" t="s">
        <v>93</v>
      </c>
      <c r="F576" t="s">
        <v>16</v>
      </c>
      <c r="G576" t="s">
        <v>29</v>
      </c>
      <c r="H576" t="s">
        <v>30</v>
      </c>
      <c r="I576" s="2">
        <v>10</v>
      </c>
      <c r="J576" s="2">
        <v>1500000</v>
      </c>
      <c r="K576" s="2">
        <v>15000000</v>
      </c>
      <c r="L576" s="3">
        <v>0.1</v>
      </c>
      <c r="M576" t="s">
        <v>31</v>
      </c>
      <c r="N576" t="s">
        <v>1198</v>
      </c>
    </row>
    <row r="577" spans="1:14" x14ac:dyDescent="0.25">
      <c r="A577" t="s">
        <v>1199</v>
      </c>
      <c r="B577" s="10">
        <v>46186</v>
      </c>
      <c r="C577" t="str">
        <f t="shared" si="9"/>
        <v>June</v>
      </c>
      <c r="D577" t="s">
        <v>14</v>
      </c>
      <c r="E577" t="s">
        <v>15</v>
      </c>
      <c r="F577" t="s">
        <v>16</v>
      </c>
      <c r="G577" t="s">
        <v>42</v>
      </c>
      <c r="H577" t="s">
        <v>43</v>
      </c>
      <c r="I577" s="2">
        <v>3</v>
      </c>
      <c r="J577" s="2">
        <v>3500000</v>
      </c>
      <c r="K577" s="2">
        <v>10500000</v>
      </c>
      <c r="L577" s="3">
        <v>0.1</v>
      </c>
      <c r="M577" t="s">
        <v>51</v>
      </c>
      <c r="N577" t="s">
        <v>1200</v>
      </c>
    </row>
    <row r="578" spans="1:14" x14ac:dyDescent="0.25">
      <c r="A578" t="s">
        <v>1201</v>
      </c>
      <c r="B578" s="10">
        <v>46083</v>
      </c>
      <c r="C578" t="str">
        <f t="shared" si="9"/>
        <v>March</v>
      </c>
      <c r="D578" t="s">
        <v>46</v>
      </c>
      <c r="E578" t="s">
        <v>47</v>
      </c>
      <c r="F578" t="s">
        <v>48</v>
      </c>
      <c r="G578" t="s">
        <v>65</v>
      </c>
      <c r="H578" t="s">
        <v>66</v>
      </c>
      <c r="I578" s="2">
        <v>3</v>
      </c>
      <c r="J578" s="2">
        <v>750000</v>
      </c>
      <c r="K578" s="2">
        <v>2250000</v>
      </c>
      <c r="L578" s="3">
        <v>0</v>
      </c>
      <c r="M578" t="s">
        <v>51</v>
      </c>
      <c r="N578" t="s">
        <v>1202</v>
      </c>
    </row>
    <row r="579" spans="1:14" x14ac:dyDescent="0.25">
      <c r="A579" t="s">
        <v>1203</v>
      </c>
      <c r="B579" s="10">
        <v>46186</v>
      </c>
      <c r="C579" t="str">
        <f t="shared" ref="C579:C642" si="10">TEXT(B579, "MMMM")</f>
        <v>June</v>
      </c>
      <c r="D579" t="s">
        <v>46</v>
      </c>
      <c r="E579" t="s">
        <v>47</v>
      </c>
      <c r="F579" t="s">
        <v>48</v>
      </c>
      <c r="G579" t="s">
        <v>42</v>
      </c>
      <c r="H579" t="s">
        <v>43</v>
      </c>
      <c r="I579" s="2">
        <v>1</v>
      </c>
      <c r="J579" s="2">
        <v>750000</v>
      </c>
      <c r="K579" s="2">
        <v>750000</v>
      </c>
      <c r="L579" s="3">
        <v>0.1</v>
      </c>
      <c r="M579" t="s">
        <v>19</v>
      </c>
      <c r="N579" t="s">
        <v>1204</v>
      </c>
    </row>
    <row r="580" spans="1:14" x14ac:dyDescent="0.25">
      <c r="A580" t="s">
        <v>1205</v>
      </c>
      <c r="B580" s="10">
        <v>46200</v>
      </c>
      <c r="C580" t="str">
        <f t="shared" si="10"/>
        <v>June</v>
      </c>
      <c r="D580" t="s">
        <v>14</v>
      </c>
      <c r="E580" t="s">
        <v>15</v>
      </c>
      <c r="F580" t="s">
        <v>16</v>
      </c>
      <c r="G580" t="s">
        <v>65</v>
      </c>
      <c r="H580" t="s">
        <v>66</v>
      </c>
      <c r="I580" s="2">
        <v>5</v>
      </c>
      <c r="J580" s="2">
        <v>3500000</v>
      </c>
      <c r="K580" s="2">
        <v>17500000</v>
      </c>
      <c r="L580" s="3">
        <v>0</v>
      </c>
      <c r="M580" t="s">
        <v>51</v>
      </c>
      <c r="N580" t="s">
        <v>1206</v>
      </c>
    </row>
    <row r="581" spans="1:14" x14ac:dyDescent="0.25">
      <c r="A581" t="s">
        <v>1207</v>
      </c>
      <c r="B581" s="10">
        <v>46035</v>
      </c>
      <c r="C581" t="str">
        <f t="shared" si="10"/>
        <v>January</v>
      </c>
      <c r="D581" t="s">
        <v>34</v>
      </c>
      <c r="E581" t="s">
        <v>35</v>
      </c>
      <c r="F581" t="s">
        <v>36</v>
      </c>
      <c r="G581" t="s">
        <v>42</v>
      </c>
      <c r="H581" t="s">
        <v>43</v>
      </c>
      <c r="I581" s="2">
        <v>12</v>
      </c>
      <c r="J581" s="2">
        <v>2000000</v>
      </c>
      <c r="K581" s="2">
        <v>24000000</v>
      </c>
      <c r="L581" s="3">
        <v>0.15</v>
      </c>
      <c r="M581" t="s">
        <v>19</v>
      </c>
      <c r="N581" t="s">
        <v>1208</v>
      </c>
    </row>
    <row r="582" spans="1:14" x14ac:dyDescent="0.25">
      <c r="A582" t="s">
        <v>1209</v>
      </c>
      <c r="B582" s="10">
        <v>46149</v>
      </c>
      <c r="C582" t="str">
        <f t="shared" si="10"/>
        <v>May</v>
      </c>
      <c r="D582" t="s">
        <v>34</v>
      </c>
      <c r="E582" t="s">
        <v>35</v>
      </c>
      <c r="F582" t="s">
        <v>36</v>
      </c>
      <c r="G582" t="s">
        <v>65</v>
      </c>
      <c r="H582" t="s">
        <v>66</v>
      </c>
      <c r="I582" s="2">
        <v>9</v>
      </c>
      <c r="J582" s="2">
        <v>2000000</v>
      </c>
      <c r="K582" s="2">
        <v>18000000</v>
      </c>
      <c r="L582" s="3">
        <v>0.15</v>
      </c>
      <c r="M582" t="s">
        <v>19</v>
      </c>
      <c r="N582" t="s">
        <v>1210</v>
      </c>
    </row>
    <row r="583" spans="1:14" x14ac:dyDescent="0.25">
      <c r="A583" t="s">
        <v>1211</v>
      </c>
      <c r="B583" s="10">
        <v>46145</v>
      </c>
      <c r="C583" t="str">
        <f t="shared" si="10"/>
        <v>May</v>
      </c>
      <c r="D583" t="s">
        <v>26</v>
      </c>
      <c r="E583" t="s">
        <v>27</v>
      </c>
      <c r="F583" t="s">
        <v>28</v>
      </c>
      <c r="G583" t="s">
        <v>29</v>
      </c>
      <c r="H583" t="s">
        <v>30</v>
      </c>
      <c r="I583" s="2">
        <v>8</v>
      </c>
      <c r="J583" s="2">
        <v>2500000</v>
      </c>
      <c r="K583" s="2">
        <v>20000000</v>
      </c>
      <c r="L583" s="3">
        <v>0</v>
      </c>
      <c r="M583" t="s">
        <v>19</v>
      </c>
      <c r="N583" t="s">
        <v>1212</v>
      </c>
    </row>
    <row r="584" spans="1:14" x14ac:dyDescent="0.25">
      <c r="A584" t="s">
        <v>1213</v>
      </c>
      <c r="B584" s="10">
        <v>46028</v>
      </c>
      <c r="C584" t="str">
        <f t="shared" si="10"/>
        <v>January</v>
      </c>
      <c r="D584" t="s">
        <v>46</v>
      </c>
      <c r="E584" t="s">
        <v>47</v>
      </c>
      <c r="F584" t="s">
        <v>48</v>
      </c>
      <c r="G584" t="s">
        <v>65</v>
      </c>
      <c r="H584" t="s">
        <v>66</v>
      </c>
      <c r="I584" s="2">
        <v>2</v>
      </c>
      <c r="J584" s="2">
        <v>750000</v>
      </c>
      <c r="K584" s="2">
        <v>1500000</v>
      </c>
      <c r="L584" s="3">
        <v>0</v>
      </c>
      <c r="M584" t="s">
        <v>19</v>
      </c>
      <c r="N584" t="s">
        <v>1214</v>
      </c>
    </row>
    <row r="585" spans="1:14" x14ac:dyDescent="0.25">
      <c r="A585" t="s">
        <v>1215</v>
      </c>
      <c r="B585" s="10">
        <v>46119</v>
      </c>
      <c r="C585" t="str">
        <f t="shared" si="10"/>
        <v>April</v>
      </c>
      <c r="D585" t="s">
        <v>39</v>
      </c>
      <c r="E585" t="s">
        <v>40</v>
      </c>
      <c r="F585" t="s">
        <v>41</v>
      </c>
      <c r="G585" t="s">
        <v>17</v>
      </c>
      <c r="H585" t="s">
        <v>18</v>
      </c>
      <c r="I585" s="2">
        <v>9</v>
      </c>
      <c r="J585" s="2">
        <v>12000000</v>
      </c>
      <c r="K585" s="2">
        <v>108000000</v>
      </c>
      <c r="L585" s="3">
        <v>0</v>
      </c>
      <c r="M585" t="s">
        <v>19</v>
      </c>
      <c r="N585" t="s">
        <v>1216</v>
      </c>
    </row>
    <row r="586" spans="1:14" x14ac:dyDescent="0.25">
      <c r="A586" t="s">
        <v>1217</v>
      </c>
      <c r="B586" s="10">
        <v>46180</v>
      </c>
      <c r="C586" t="str">
        <f t="shared" si="10"/>
        <v>June</v>
      </c>
      <c r="D586" t="s">
        <v>62</v>
      </c>
      <c r="E586" t="s">
        <v>63</v>
      </c>
      <c r="F586" t="s">
        <v>64</v>
      </c>
      <c r="G586" t="s">
        <v>17</v>
      </c>
      <c r="H586" t="s">
        <v>18</v>
      </c>
      <c r="I586" s="2">
        <v>7</v>
      </c>
      <c r="J586" s="2">
        <v>4000000</v>
      </c>
      <c r="K586" s="2">
        <v>28000000</v>
      </c>
      <c r="L586" s="3">
        <v>0.05</v>
      </c>
      <c r="M586" t="s">
        <v>31</v>
      </c>
      <c r="N586" t="s">
        <v>1218</v>
      </c>
    </row>
    <row r="587" spans="1:14" x14ac:dyDescent="0.25">
      <c r="A587" t="s">
        <v>1219</v>
      </c>
      <c r="B587" s="10">
        <v>46063</v>
      </c>
      <c r="C587" t="str">
        <f t="shared" si="10"/>
        <v>February</v>
      </c>
      <c r="D587" t="s">
        <v>92</v>
      </c>
      <c r="E587" t="s">
        <v>93</v>
      </c>
      <c r="F587" t="s">
        <v>16</v>
      </c>
      <c r="G587" t="s">
        <v>17</v>
      </c>
      <c r="H587" t="s">
        <v>18</v>
      </c>
      <c r="I587" s="2">
        <v>6</v>
      </c>
      <c r="J587" s="2">
        <v>1500000</v>
      </c>
      <c r="K587" s="2">
        <v>9000000</v>
      </c>
      <c r="L587" s="3">
        <v>0.05</v>
      </c>
      <c r="M587" t="s">
        <v>19</v>
      </c>
      <c r="N587" t="s">
        <v>1220</v>
      </c>
    </row>
    <row r="588" spans="1:14" x14ac:dyDescent="0.25">
      <c r="A588" t="s">
        <v>1221</v>
      </c>
      <c r="B588" s="10">
        <v>46201</v>
      </c>
      <c r="C588" t="str">
        <f t="shared" si="10"/>
        <v>June</v>
      </c>
      <c r="D588" t="s">
        <v>58</v>
      </c>
      <c r="E588" t="s">
        <v>59</v>
      </c>
      <c r="F588" t="s">
        <v>28</v>
      </c>
      <c r="G588" t="s">
        <v>65</v>
      </c>
      <c r="H588" t="s">
        <v>66</v>
      </c>
      <c r="I588" s="2">
        <v>5</v>
      </c>
      <c r="J588" s="2">
        <v>5500000</v>
      </c>
      <c r="K588" s="2">
        <v>27500000</v>
      </c>
      <c r="L588" s="3">
        <v>0.05</v>
      </c>
      <c r="M588" t="s">
        <v>19</v>
      </c>
      <c r="N588" t="s">
        <v>1222</v>
      </c>
    </row>
    <row r="589" spans="1:14" x14ac:dyDescent="0.25">
      <c r="A589" t="s">
        <v>1223</v>
      </c>
      <c r="B589" s="10">
        <v>46123</v>
      </c>
      <c r="C589" t="str">
        <f t="shared" si="10"/>
        <v>April</v>
      </c>
      <c r="D589" t="s">
        <v>62</v>
      </c>
      <c r="E589" t="s">
        <v>63</v>
      </c>
      <c r="F589" t="s">
        <v>64</v>
      </c>
      <c r="G589" t="s">
        <v>29</v>
      </c>
      <c r="H589" t="s">
        <v>30</v>
      </c>
      <c r="I589" s="2">
        <v>1</v>
      </c>
      <c r="J589" s="2">
        <v>4000000</v>
      </c>
      <c r="K589" s="2">
        <v>4000000</v>
      </c>
      <c r="L589" s="3">
        <v>0.1</v>
      </c>
      <c r="M589" t="s">
        <v>19</v>
      </c>
      <c r="N589" t="s">
        <v>1224</v>
      </c>
    </row>
    <row r="590" spans="1:14" x14ac:dyDescent="0.25">
      <c r="A590" t="s">
        <v>1225</v>
      </c>
      <c r="B590" s="10">
        <v>46045</v>
      </c>
      <c r="C590" t="str">
        <f t="shared" si="10"/>
        <v>January</v>
      </c>
      <c r="D590" t="s">
        <v>58</v>
      </c>
      <c r="E590" t="s">
        <v>59</v>
      </c>
      <c r="F590" t="s">
        <v>28</v>
      </c>
      <c r="G590" t="s">
        <v>22</v>
      </c>
      <c r="H590" t="s">
        <v>23</v>
      </c>
      <c r="I590" s="2">
        <v>8</v>
      </c>
      <c r="J590" s="2">
        <v>5500000</v>
      </c>
      <c r="K590" s="2">
        <v>44000000</v>
      </c>
      <c r="L590" s="3">
        <v>0.05</v>
      </c>
      <c r="M590" t="s">
        <v>19</v>
      </c>
      <c r="N590" t="s">
        <v>1226</v>
      </c>
    </row>
    <row r="591" spans="1:14" x14ac:dyDescent="0.25">
      <c r="A591" t="s">
        <v>1227</v>
      </c>
      <c r="B591" s="10">
        <v>46075</v>
      </c>
      <c r="C591" t="str">
        <f t="shared" si="10"/>
        <v>February</v>
      </c>
      <c r="D591" t="s">
        <v>39</v>
      </c>
      <c r="E591" t="s">
        <v>40</v>
      </c>
      <c r="F591" t="s">
        <v>41</v>
      </c>
      <c r="G591" t="s">
        <v>65</v>
      </c>
      <c r="H591" t="s">
        <v>66</v>
      </c>
      <c r="I591" s="2">
        <v>2</v>
      </c>
      <c r="J591" s="2">
        <v>12000000</v>
      </c>
      <c r="K591" s="2">
        <v>24000000</v>
      </c>
      <c r="L591" s="3">
        <v>0.15</v>
      </c>
      <c r="M591" t="s">
        <v>19</v>
      </c>
      <c r="N591" t="s">
        <v>1228</v>
      </c>
    </row>
    <row r="592" spans="1:14" x14ac:dyDescent="0.25">
      <c r="A592" t="s">
        <v>1229</v>
      </c>
      <c r="B592" s="10">
        <v>46223</v>
      </c>
      <c r="C592" t="str">
        <f t="shared" si="10"/>
        <v>July</v>
      </c>
      <c r="D592" t="s">
        <v>34</v>
      </c>
      <c r="E592" t="s">
        <v>35</v>
      </c>
      <c r="F592" t="s">
        <v>36</v>
      </c>
      <c r="G592" t="s">
        <v>42</v>
      </c>
      <c r="H592" t="s">
        <v>43</v>
      </c>
      <c r="I592" s="2">
        <v>8</v>
      </c>
      <c r="J592" s="2">
        <v>2000000</v>
      </c>
      <c r="K592" s="2">
        <v>16000000</v>
      </c>
      <c r="L592" s="3">
        <v>0.1</v>
      </c>
      <c r="M592" t="s">
        <v>19</v>
      </c>
      <c r="N592" t="s">
        <v>1230</v>
      </c>
    </row>
    <row r="593" spans="1:14" x14ac:dyDescent="0.25">
      <c r="A593" t="s">
        <v>1231</v>
      </c>
      <c r="B593" s="10">
        <v>46162</v>
      </c>
      <c r="C593" t="str">
        <f t="shared" si="10"/>
        <v>May</v>
      </c>
      <c r="D593" t="s">
        <v>34</v>
      </c>
      <c r="E593" t="s">
        <v>35</v>
      </c>
      <c r="F593" t="s">
        <v>36</v>
      </c>
      <c r="G593" t="s">
        <v>29</v>
      </c>
      <c r="H593" t="s">
        <v>30</v>
      </c>
      <c r="I593" s="2">
        <v>6</v>
      </c>
      <c r="J593" s="2">
        <v>2000000</v>
      </c>
      <c r="K593" s="2">
        <v>12000000</v>
      </c>
      <c r="L593" s="3">
        <v>0.15</v>
      </c>
      <c r="M593" t="s">
        <v>19</v>
      </c>
      <c r="N593" t="s">
        <v>1232</v>
      </c>
    </row>
    <row r="594" spans="1:14" x14ac:dyDescent="0.25">
      <c r="A594" t="s">
        <v>1233</v>
      </c>
      <c r="B594" s="10">
        <v>46137</v>
      </c>
      <c r="C594" t="str">
        <f t="shared" si="10"/>
        <v>April</v>
      </c>
      <c r="D594" t="s">
        <v>92</v>
      </c>
      <c r="E594" t="s">
        <v>93</v>
      </c>
      <c r="F594" t="s">
        <v>16</v>
      </c>
      <c r="G594" t="s">
        <v>65</v>
      </c>
      <c r="H594" t="s">
        <v>66</v>
      </c>
      <c r="I594" s="2">
        <v>8</v>
      </c>
      <c r="J594" s="2">
        <v>1500000</v>
      </c>
      <c r="K594" s="2">
        <v>12000000</v>
      </c>
      <c r="L594" s="3">
        <v>0.15</v>
      </c>
      <c r="M594" t="s">
        <v>19</v>
      </c>
      <c r="N594" t="s">
        <v>1234</v>
      </c>
    </row>
    <row r="595" spans="1:14" x14ac:dyDescent="0.25">
      <c r="A595" t="s">
        <v>1235</v>
      </c>
      <c r="B595" s="10">
        <v>46237</v>
      </c>
      <c r="C595" t="str">
        <f t="shared" si="10"/>
        <v>August</v>
      </c>
      <c r="D595" t="s">
        <v>58</v>
      </c>
      <c r="E595" t="s">
        <v>59</v>
      </c>
      <c r="F595" t="s">
        <v>28</v>
      </c>
      <c r="G595" t="s">
        <v>22</v>
      </c>
      <c r="H595" t="s">
        <v>23</v>
      </c>
      <c r="I595" s="2">
        <v>1</v>
      </c>
      <c r="J595" s="2">
        <v>5500000</v>
      </c>
      <c r="K595" s="2">
        <v>5500000</v>
      </c>
      <c r="L595" s="3">
        <v>0.05</v>
      </c>
      <c r="M595" t="s">
        <v>51</v>
      </c>
      <c r="N595" t="s">
        <v>1236</v>
      </c>
    </row>
    <row r="596" spans="1:14" x14ac:dyDescent="0.25">
      <c r="A596" t="s">
        <v>1237</v>
      </c>
      <c r="B596" s="10">
        <v>46047</v>
      </c>
      <c r="C596" t="str">
        <f t="shared" si="10"/>
        <v>January</v>
      </c>
      <c r="D596" t="s">
        <v>14</v>
      </c>
      <c r="E596" t="s">
        <v>15</v>
      </c>
      <c r="F596" t="s">
        <v>16</v>
      </c>
      <c r="G596" t="s">
        <v>65</v>
      </c>
      <c r="H596" t="s">
        <v>66</v>
      </c>
      <c r="I596" s="2">
        <v>13</v>
      </c>
      <c r="J596" s="2">
        <v>3500000</v>
      </c>
      <c r="K596" s="2">
        <v>45500000</v>
      </c>
      <c r="L596" s="3">
        <v>0.15</v>
      </c>
      <c r="M596" t="s">
        <v>31</v>
      </c>
      <c r="N596" t="s">
        <v>1238</v>
      </c>
    </row>
    <row r="597" spans="1:14" x14ac:dyDescent="0.25">
      <c r="A597" t="s">
        <v>1239</v>
      </c>
      <c r="B597" s="10">
        <v>46164</v>
      </c>
      <c r="C597" t="str">
        <f t="shared" si="10"/>
        <v>May</v>
      </c>
      <c r="D597" t="s">
        <v>92</v>
      </c>
      <c r="E597" t="s">
        <v>93</v>
      </c>
      <c r="F597" t="s">
        <v>16</v>
      </c>
      <c r="G597" t="s">
        <v>42</v>
      </c>
      <c r="H597" t="s">
        <v>43</v>
      </c>
      <c r="I597" s="2">
        <v>14</v>
      </c>
      <c r="J597" s="2">
        <v>1500000</v>
      </c>
      <c r="K597" s="2">
        <v>21000000</v>
      </c>
      <c r="L597" s="3">
        <v>0.15</v>
      </c>
      <c r="M597" t="s">
        <v>31</v>
      </c>
      <c r="N597" t="s">
        <v>1240</v>
      </c>
    </row>
    <row r="598" spans="1:14" x14ac:dyDescent="0.25">
      <c r="A598" t="s">
        <v>1241</v>
      </c>
      <c r="B598" s="10">
        <v>46144</v>
      </c>
      <c r="C598" t="str">
        <f t="shared" si="10"/>
        <v>May</v>
      </c>
      <c r="D598" t="s">
        <v>26</v>
      </c>
      <c r="E598" t="s">
        <v>27</v>
      </c>
      <c r="F598" t="s">
        <v>28</v>
      </c>
      <c r="G598" t="s">
        <v>42</v>
      </c>
      <c r="H598" t="s">
        <v>43</v>
      </c>
      <c r="I598" s="2">
        <v>5</v>
      </c>
      <c r="J598" s="2">
        <v>2500000</v>
      </c>
      <c r="K598" s="2">
        <v>12500000</v>
      </c>
      <c r="L598" s="3">
        <v>0</v>
      </c>
      <c r="M598" t="s">
        <v>77</v>
      </c>
      <c r="N598" t="s">
        <v>1242</v>
      </c>
    </row>
    <row r="599" spans="1:14" x14ac:dyDescent="0.25">
      <c r="A599" t="s">
        <v>1243</v>
      </c>
      <c r="B599" s="10">
        <v>46205</v>
      </c>
      <c r="C599" t="str">
        <f t="shared" si="10"/>
        <v>July</v>
      </c>
      <c r="D599" t="s">
        <v>92</v>
      </c>
      <c r="E599" t="s">
        <v>93</v>
      </c>
      <c r="F599" t="s">
        <v>16</v>
      </c>
      <c r="G599" t="s">
        <v>22</v>
      </c>
      <c r="H599" t="s">
        <v>23</v>
      </c>
      <c r="I599" s="2">
        <v>10</v>
      </c>
      <c r="J599" s="2">
        <v>1500000</v>
      </c>
      <c r="K599" s="2">
        <v>15000000</v>
      </c>
      <c r="L599" s="3">
        <v>0.05</v>
      </c>
      <c r="M599" t="s">
        <v>19</v>
      </c>
      <c r="N599" t="s">
        <v>1244</v>
      </c>
    </row>
    <row r="600" spans="1:14" x14ac:dyDescent="0.25">
      <c r="A600" t="s">
        <v>1245</v>
      </c>
      <c r="B600" s="10">
        <v>46137</v>
      </c>
      <c r="C600" t="str">
        <f t="shared" si="10"/>
        <v>April</v>
      </c>
      <c r="D600" t="s">
        <v>39</v>
      </c>
      <c r="E600" t="s">
        <v>40</v>
      </c>
      <c r="F600" t="s">
        <v>41</v>
      </c>
      <c r="G600" t="s">
        <v>29</v>
      </c>
      <c r="H600" t="s">
        <v>30</v>
      </c>
      <c r="I600" s="2">
        <v>4</v>
      </c>
      <c r="J600" s="2">
        <v>12000000</v>
      </c>
      <c r="K600" s="2">
        <v>48000000</v>
      </c>
      <c r="L600" s="3">
        <v>0.05</v>
      </c>
      <c r="M600" t="s">
        <v>19</v>
      </c>
      <c r="N600" t="s">
        <v>1246</v>
      </c>
    </row>
    <row r="601" spans="1:14" x14ac:dyDescent="0.25">
      <c r="A601" t="s">
        <v>1247</v>
      </c>
      <c r="B601" s="10">
        <v>46131</v>
      </c>
      <c r="C601" t="str">
        <f t="shared" si="10"/>
        <v>April</v>
      </c>
      <c r="D601" t="s">
        <v>14</v>
      </c>
      <c r="E601" t="s">
        <v>15</v>
      </c>
      <c r="F601" t="s">
        <v>16</v>
      </c>
      <c r="G601" t="s">
        <v>42</v>
      </c>
      <c r="H601" t="s">
        <v>43</v>
      </c>
      <c r="I601" s="2">
        <v>4</v>
      </c>
      <c r="J601" s="2">
        <v>3500000</v>
      </c>
      <c r="K601" s="2">
        <v>14000000</v>
      </c>
      <c r="L601" s="3">
        <v>0.05</v>
      </c>
      <c r="M601" t="s">
        <v>31</v>
      </c>
      <c r="N601" t="s">
        <v>1248</v>
      </c>
    </row>
    <row r="602" spans="1:14" x14ac:dyDescent="0.25">
      <c r="A602" t="s">
        <v>1249</v>
      </c>
      <c r="B602" s="10">
        <v>46104</v>
      </c>
      <c r="C602" t="str">
        <f t="shared" si="10"/>
        <v>March</v>
      </c>
      <c r="D602" t="s">
        <v>14</v>
      </c>
      <c r="E602" t="s">
        <v>15</v>
      </c>
      <c r="F602" t="s">
        <v>16</v>
      </c>
      <c r="G602" t="s">
        <v>17</v>
      </c>
      <c r="H602" t="s">
        <v>18</v>
      </c>
      <c r="I602" s="2">
        <v>7</v>
      </c>
      <c r="J602" s="2">
        <v>3500000</v>
      </c>
      <c r="K602" s="2">
        <v>24500000</v>
      </c>
      <c r="L602" s="3">
        <v>0.15</v>
      </c>
      <c r="M602" t="s">
        <v>31</v>
      </c>
      <c r="N602" t="s">
        <v>1250</v>
      </c>
    </row>
    <row r="603" spans="1:14" x14ac:dyDescent="0.25">
      <c r="A603" t="s">
        <v>1251</v>
      </c>
      <c r="B603" s="10">
        <v>46242</v>
      </c>
      <c r="C603" t="str">
        <f t="shared" si="10"/>
        <v>August</v>
      </c>
      <c r="D603" t="s">
        <v>58</v>
      </c>
      <c r="E603" t="s">
        <v>59</v>
      </c>
      <c r="F603" t="s">
        <v>28</v>
      </c>
      <c r="G603" t="s">
        <v>22</v>
      </c>
      <c r="H603" t="s">
        <v>23</v>
      </c>
      <c r="I603" s="2">
        <v>8</v>
      </c>
      <c r="J603" s="2">
        <v>5500000</v>
      </c>
      <c r="K603" s="2">
        <v>44000000</v>
      </c>
      <c r="L603" s="3">
        <v>0</v>
      </c>
      <c r="M603" t="s">
        <v>51</v>
      </c>
      <c r="N603" t="s">
        <v>1252</v>
      </c>
    </row>
    <row r="604" spans="1:14" x14ac:dyDescent="0.25">
      <c r="A604" t="s">
        <v>1253</v>
      </c>
      <c r="B604" s="10">
        <v>46173</v>
      </c>
      <c r="C604" t="str">
        <f t="shared" si="10"/>
        <v>May</v>
      </c>
      <c r="D604" t="s">
        <v>34</v>
      </c>
      <c r="E604" t="s">
        <v>35</v>
      </c>
      <c r="F604" t="s">
        <v>36</v>
      </c>
      <c r="G604" t="s">
        <v>17</v>
      </c>
      <c r="H604" t="s">
        <v>18</v>
      </c>
      <c r="I604" s="2">
        <v>7</v>
      </c>
      <c r="J604" s="2">
        <v>2000000</v>
      </c>
      <c r="K604" s="2">
        <v>14000000</v>
      </c>
      <c r="L604" s="3">
        <v>0.05</v>
      </c>
      <c r="M604" t="s">
        <v>19</v>
      </c>
      <c r="N604" t="s">
        <v>1254</v>
      </c>
    </row>
    <row r="605" spans="1:14" x14ac:dyDescent="0.25">
      <c r="A605" t="s">
        <v>1255</v>
      </c>
      <c r="B605" s="10">
        <v>46173</v>
      </c>
      <c r="C605" t="str">
        <f t="shared" si="10"/>
        <v>May</v>
      </c>
      <c r="D605" t="s">
        <v>14</v>
      </c>
      <c r="E605" t="s">
        <v>15</v>
      </c>
      <c r="F605" t="s">
        <v>16</v>
      </c>
      <c r="G605" t="s">
        <v>17</v>
      </c>
      <c r="H605" t="s">
        <v>18</v>
      </c>
      <c r="I605" s="2">
        <v>10</v>
      </c>
      <c r="J605" s="2">
        <v>3500000</v>
      </c>
      <c r="K605" s="2">
        <v>35000000</v>
      </c>
      <c r="L605" s="3">
        <v>0</v>
      </c>
      <c r="M605" t="s">
        <v>19</v>
      </c>
      <c r="N605" t="s">
        <v>1256</v>
      </c>
    </row>
    <row r="606" spans="1:14" x14ac:dyDescent="0.25">
      <c r="A606" t="s">
        <v>1257</v>
      </c>
      <c r="B606" s="10">
        <v>46160</v>
      </c>
      <c r="C606" t="str">
        <f t="shared" si="10"/>
        <v>May</v>
      </c>
      <c r="D606" t="s">
        <v>46</v>
      </c>
      <c r="E606" t="s">
        <v>47</v>
      </c>
      <c r="F606" t="s">
        <v>48</v>
      </c>
      <c r="G606" t="s">
        <v>42</v>
      </c>
      <c r="H606" t="s">
        <v>43</v>
      </c>
      <c r="I606" s="2">
        <v>5</v>
      </c>
      <c r="J606" s="2">
        <v>750000</v>
      </c>
      <c r="K606" s="2">
        <v>3750000</v>
      </c>
      <c r="L606" s="3">
        <v>0.15</v>
      </c>
      <c r="M606" t="s">
        <v>51</v>
      </c>
      <c r="N606" t="s">
        <v>1258</v>
      </c>
    </row>
    <row r="607" spans="1:14" x14ac:dyDescent="0.25">
      <c r="A607" t="s">
        <v>1259</v>
      </c>
      <c r="B607" s="10">
        <v>46169</v>
      </c>
      <c r="C607" t="str">
        <f t="shared" si="10"/>
        <v>May</v>
      </c>
      <c r="D607" t="s">
        <v>62</v>
      </c>
      <c r="E607" t="s">
        <v>63</v>
      </c>
      <c r="F607" t="s">
        <v>64</v>
      </c>
      <c r="G607" t="s">
        <v>17</v>
      </c>
      <c r="H607" t="s">
        <v>18</v>
      </c>
      <c r="I607" s="2">
        <v>3</v>
      </c>
      <c r="J607" s="2">
        <v>4000000</v>
      </c>
      <c r="K607" s="2">
        <v>12000000</v>
      </c>
      <c r="L607" s="3">
        <v>0.1</v>
      </c>
      <c r="M607" t="s">
        <v>77</v>
      </c>
      <c r="N607" t="s">
        <v>1260</v>
      </c>
    </row>
    <row r="608" spans="1:14" x14ac:dyDescent="0.25">
      <c r="A608" t="s">
        <v>1261</v>
      </c>
      <c r="B608" s="10">
        <v>46181</v>
      </c>
      <c r="C608" t="str">
        <f t="shared" si="10"/>
        <v>June</v>
      </c>
      <c r="D608" t="s">
        <v>34</v>
      </c>
      <c r="E608" t="s">
        <v>35</v>
      </c>
      <c r="F608" t="s">
        <v>36</v>
      </c>
      <c r="G608" t="s">
        <v>17</v>
      </c>
      <c r="H608" t="s">
        <v>18</v>
      </c>
      <c r="I608" s="2">
        <v>7</v>
      </c>
      <c r="J608" s="2">
        <v>2000000</v>
      </c>
      <c r="K608" s="2">
        <v>14000000</v>
      </c>
      <c r="L608" s="3">
        <v>0.1</v>
      </c>
      <c r="M608" t="s">
        <v>51</v>
      </c>
      <c r="N608" t="s">
        <v>1262</v>
      </c>
    </row>
    <row r="609" spans="1:14" x14ac:dyDescent="0.25">
      <c r="A609" t="s">
        <v>1263</v>
      </c>
      <c r="B609" s="10">
        <v>46035</v>
      </c>
      <c r="C609" t="str">
        <f t="shared" si="10"/>
        <v>January</v>
      </c>
      <c r="D609" t="s">
        <v>62</v>
      </c>
      <c r="E609" t="s">
        <v>63</v>
      </c>
      <c r="F609" t="s">
        <v>64</v>
      </c>
      <c r="G609" t="s">
        <v>65</v>
      </c>
      <c r="H609" t="s">
        <v>66</v>
      </c>
      <c r="I609" s="2">
        <v>15</v>
      </c>
      <c r="J609" s="2">
        <v>4000000</v>
      </c>
      <c r="K609" s="2">
        <v>60000000</v>
      </c>
      <c r="L609" s="3">
        <v>0.1</v>
      </c>
      <c r="M609" t="s">
        <v>19</v>
      </c>
      <c r="N609" t="s">
        <v>1264</v>
      </c>
    </row>
    <row r="610" spans="1:14" x14ac:dyDescent="0.25">
      <c r="A610" t="s">
        <v>1265</v>
      </c>
      <c r="B610" s="10">
        <v>46232</v>
      </c>
      <c r="C610" t="str">
        <f t="shared" si="10"/>
        <v>July</v>
      </c>
      <c r="D610" t="s">
        <v>58</v>
      </c>
      <c r="E610" t="s">
        <v>59</v>
      </c>
      <c r="F610" t="s">
        <v>28</v>
      </c>
      <c r="G610" t="s">
        <v>65</v>
      </c>
      <c r="H610" t="s">
        <v>66</v>
      </c>
      <c r="I610" s="2">
        <v>5</v>
      </c>
      <c r="J610" s="2">
        <v>5500000</v>
      </c>
      <c r="K610" s="2">
        <v>27500000</v>
      </c>
      <c r="L610" s="3">
        <v>0.15</v>
      </c>
      <c r="M610" t="s">
        <v>51</v>
      </c>
      <c r="N610" t="s">
        <v>1266</v>
      </c>
    </row>
    <row r="611" spans="1:14" x14ac:dyDescent="0.25">
      <c r="A611" t="s">
        <v>1267</v>
      </c>
      <c r="B611" s="10">
        <v>46048</v>
      </c>
      <c r="C611" t="str">
        <f t="shared" si="10"/>
        <v>January</v>
      </c>
      <c r="D611" t="s">
        <v>26</v>
      </c>
      <c r="E611" t="s">
        <v>27</v>
      </c>
      <c r="F611" t="s">
        <v>28</v>
      </c>
      <c r="G611" t="s">
        <v>29</v>
      </c>
      <c r="H611" t="s">
        <v>30</v>
      </c>
      <c r="I611" s="2">
        <v>5</v>
      </c>
      <c r="J611" s="2">
        <v>2500000</v>
      </c>
      <c r="K611" s="2">
        <v>12500000</v>
      </c>
      <c r="L611" s="3">
        <v>0.15</v>
      </c>
      <c r="M611" t="s">
        <v>19</v>
      </c>
      <c r="N611" t="s">
        <v>1268</v>
      </c>
    </row>
    <row r="612" spans="1:14" x14ac:dyDescent="0.25">
      <c r="A612" t="s">
        <v>1269</v>
      </c>
      <c r="B612" s="10">
        <v>46209</v>
      </c>
      <c r="C612" t="str">
        <f t="shared" si="10"/>
        <v>July</v>
      </c>
      <c r="D612" t="s">
        <v>34</v>
      </c>
      <c r="E612" t="s">
        <v>35</v>
      </c>
      <c r="F612" t="s">
        <v>36</v>
      </c>
      <c r="G612" t="s">
        <v>22</v>
      </c>
      <c r="H612" t="s">
        <v>23</v>
      </c>
      <c r="I612" s="2">
        <v>11</v>
      </c>
      <c r="J612" s="2">
        <v>2000000</v>
      </c>
      <c r="K612" s="2">
        <v>22000000</v>
      </c>
      <c r="L612" s="3">
        <v>0</v>
      </c>
      <c r="M612" t="s">
        <v>19</v>
      </c>
      <c r="N612" t="s">
        <v>1270</v>
      </c>
    </row>
    <row r="613" spans="1:14" x14ac:dyDescent="0.25">
      <c r="A613" t="s">
        <v>1271</v>
      </c>
      <c r="B613" s="10">
        <v>46077</v>
      </c>
      <c r="C613" t="str">
        <f t="shared" si="10"/>
        <v>February</v>
      </c>
      <c r="D613" t="s">
        <v>34</v>
      </c>
      <c r="E613" t="s">
        <v>35</v>
      </c>
      <c r="F613" t="s">
        <v>36</v>
      </c>
      <c r="G613" t="s">
        <v>42</v>
      </c>
      <c r="H613" t="s">
        <v>43</v>
      </c>
      <c r="I613" s="2">
        <v>13</v>
      </c>
      <c r="J613" s="2">
        <v>2000000</v>
      </c>
      <c r="K613" s="2">
        <v>26000000</v>
      </c>
      <c r="L613" s="3">
        <v>0.1</v>
      </c>
      <c r="M613" t="s">
        <v>19</v>
      </c>
      <c r="N613" t="s">
        <v>1272</v>
      </c>
    </row>
    <row r="614" spans="1:14" x14ac:dyDescent="0.25">
      <c r="A614" t="s">
        <v>1273</v>
      </c>
      <c r="B614" s="10">
        <v>46225</v>
      </c>
      <c r="C614" t="str">
        <f t="shared" si="10"/>
        <v>July</v>
      </c>
      <c r="D614" t="s">
        <v>39</v>
      </c>
      <c r="E614" t="s">
        <v>40</v>
      </c>
      <c r="F614" t="s">
        <v>41</v>
      </c>
      <c r="G614" t="s">
        <v>17</v>
      </c>
      <c r="H614" t="s">
        <v>18</v>
      </c>
      <c r="I614" s="2">
        <v>5</v>
      </c>
      <c r="J614" s="2">
        <v>12000000</v>
      </c>
      <c r="K614" s="2">
        <v>60000000</v>
      </c>
      <c r="L614" s="3">
        <v>0.15</v>
      </c>
      <c r="M614" t="s">
        <v>19</v>
      </c>
      <c r="N614" t="s">
        <v>1274</v>
      </c>
    </row>
    <row r="615" spans="1:14" x14ac:dyDescent="0.25">
      <c r="A615" t="s">
        <v>1275</v>
      </c>
      <c r="B615" s="10">
        <v>46240</v>
      </c>
      <c r="C615" t="str">
        <f t="shared" si="10"/>
        <v>August</v>
      </c>
      <c r="D615" t="s">
        <v>92</v>
      </c>
      <c r="E615" t="s">
        <v>93</v>
      </c>
      <c r="F615" t="s">
        <v>16</v>
      </c>
      <c r="G615" t="s">
        <v>29</v>
      </c>
      <c r="H615" t="s">
        <v>30</v>
      </c>
      <c r="I615" s="2">
        <v>4</v>
      </c>
      <c r="J615" s="2">
        <v>1500000</v>
      </c>
      <c r="K615" s="2">
        <v>6000000</v>
      </c>
      <c r="L615" s="3">
        <v>0.05</v>
      </c>
      <c r="M615" t="s">
        <v>19</v>
      </c>
      <c r="N615" t="s">
        <v>1276</v>
      </c>
    </row>
    <row r="616" spans="1:14" x14ac:dyDescent="0.25">
      <c r="A616" t="s">
        <v>1277</v>
      </c>
      <c r="B616" s="10">
        <v>46031</v>
      </c>
      <c r="C616" t="str">
        <f t="shared" si="10"/>
        <v>January</v>
      </c>
      <c r="D616" t="s">
        <v>62</v>
      </c>
      <c r="E616" t="s">
        <v>63</v>
      </c>
      <c r="F616" t="s">
        <v>64</v>
      </c>
      <c r="G616" t="s">
        <v>17</v>
      </c>
      <c r="H616" t="s">
        <v>18</v>
      </c>
      <c r="I616" s="2">
        <v>15</v>
      </c>
      <c r="J616" s="2">
        <v>4000000</v>
      </c>
      <c r="K616" s="2">
        <v>60000000</v>
      </c>
      <c r="L616" s="3">
        <v>0.1</v>
      </c>
      <c r="M616" t="s">
        <v>51</v>
      </c>
      <c r="N616" t="s">
        <v>1278</v>
      </c>
    </row>
    <row r="617" spans="1:14" x14ac:dyDescent="0.25">
      <c r="A617" t="s">
        <v>1279</v>
      </c>
      <c r="B617" s="10">
        <v>46093</v>
      </c>
      <c r="C617" t="str">
        <f t="shared" si="10"/>
        <v>March</v>
      </c>
      <c r="D617" t="s">
        <v>46</v>
      </c>
      <c r="E617" t="s">
        <v>47</v>
      </c>
      <c r="F617" t="s">
        <v>48</v>
      </c>
      <c r="G617" t="s">
        <v>42</v>
      </c>
      <c r="H617" t="s">
        <v>43</v>
      </c>
      <c r="I617" s="2">
        <v>9</v>
      </c>
      <c r="J617" s="2">
        <v>750000</v>
      </c>
      <c r="K617" s="2">
        <v>6750000</v>
      </c>
      <c r="L617" s="3">
        <v>0.15</v>
      </c>
      <c r="M617" t="s">
        <v>51</v>
      </c>
      <c r="N617" t="s">
        <v>1280</v>
      </c>
    </row>
    <row r="618" spans="1:14" x14ac:dyDescent="0.25">
      <c r="A618" t="s">
        <v>1281</v>
      </c>
      <c r="B618" s="10">
        <v>46197</v>
      </c>
      <c r="C618" t="str">
        <f t="shared" si="10"/>
        <v>June</v>
      </c>
      <c r="D618" t="s">
        <v>92</v>
      </c>
      <c r="E618" t="s">
        <v>93</v>
      </c>
      <c r="F618" t="s">
        <v>16</v>
      </c>
      <c r="G618" t="s">
        <v>29</v>
      </c>
      <c r="H618" t="s">
        <v>30</v>
      </c>
      <c r="I618" s="2">
        <v>6</v>
      </c>
      <c r="J618" s="2">
        <v>1500000</v>
      </c>
      <c r="K618" s="2">
        <v>9000000</v>
      </c>
      <c r="L618" s="3">
        <v>0.15</v>
      </c>
      <c r="M618" t="s">
        <v>31</v>
      </c>
      <c r="N618" t="s">
        <v>1282</v>
      </c>
    </row>
    <row r="619" spans="1:14" x14ac:dyDescent="0.25">
      <c r="A619" t="s">
        <v>1283</v>
      </c>
      <c r="B619" s="10">
        <v>46068</v>
      </c>
      <c r="C619" t="str">
        <f t="shared" si="10"/>
        <v>February</v>
      </c>
      <c r="D619" t="s">
        <v>62</v>
      </c>
      <c r="E619" t="s">
        <v>63</v>
      </c>
      <c r="F619" t="s">
        <v>64</v>
      </c>
      <c r="G619" t="s">
        <v>22</v>
      </c>
      <c r="H619" t="s">
        <v>23</v>
      </c>
      <c r="I619" s="2">
        <v>9</v>
      </c>
      <c r="J619" s="2">
        <v>4000000</v>
      </c>
      <c r="K619" s="2">
        <v>36000000</v>
      </c>
      <c r="L619" s="3">
        <v>0.1</v>
      </c>
      <c r="M619" t="s">
        <v>19</v>
      </c>
      <c r="N619" t="s">
        <v>1284</v>
      </c>
    </row>
    <row r="620" spans="1:14" x14ac:dyDescent="0.25">
      <c r="A620" t="s">
        <v>1285</v>
      </c>
      <c r="B620" s="10">
        <v>46237</v>
      </c>
      <c r="C620" t="str">
        <f t="shared" si="10"/>
        <v>August</v>
      </c>
      <c r="D620" t="s">
        <v>58</v>
      </c>
      <c r="E620" t="s">
        <v>59</v>
      </c>
      <c r="F620" t="s">
        <v>28</v>
      </c>
      <c r="G620" t="s">
        <v>17</v>
      </c>
      <c r="H620" t="s">
        <v>18</v>
      </c>
      <c r="I620" s="2">
        <v>5</v>
      </c>
      <c r="J620" s="2">
        <v>5500000</v>
      </c>
      <c r="K620" s="2">
        <v>27500000</v>
      </c>
      <c r="L620" s="3">
        <v>0</v>
      </c>
      <c r="M620" t="s">
        <v>77</v>
      </c>
      <c r="N620" t="s">
        <v>1286</v>
      </c>
    </row>
    <row r="621" spans="1:14" x14ac:dyDescent="0.25">
      <c r="A621" t="s">
        <v>1287</v>
      </c>
      <c r="B621" s="10">
        <v>46064</v>
      </c>
      <c r="C621" t="str">
        <f t="shared" si="10"/>
        <v>February</v>
      </c>
      <c r="D621" t="s">
        <v>26</v>
      </c>
      <c r="E621" t="s">
        <v>27</v>
      </c>
      <c r="F621" t="s">
        <v>28</v>
      </c>
      <c r="G621" t="s">
        <v>29</v>
      </c>
      <c r="H621" t="s">
        <v>30</v>
      </c>
      <c r="I621" s="2">
        <v>11</v>
      </c>
      <c r="J621" s="2">
        <v>2500000</v>
      </c>
      <c r="K621" s="2">
        <v>27500000</v>
      </c>
      <c r="L621" s="3">
        <v>0.05</v>
      </c>
      <c r="M621" t="s">
        <v>51</v>
      </c>
      <c r="N621" t="s">
        <v>1288</v>
      </c>
    </row>
    <row r="622" spans="1:14" x14ac:dyDescent="0.25">
      <c r="A622" t="s">
        <v>1289</v>
      </c>
      <c r="B622" s="10">
        <v>46091</v>
      </c>
      <c r="C622" t="str">
        <f t="shared" si="10"/>
        <v>March</v>
      </c>
      <c r="D622" t="s">
        <v>34</v>
      </c>
      <c r="E622" t="s">
        <v>35</v>
      </c>
      <c r="F622" t="s">
        <v>36</v>
      </c>
      <c r="G622" t="s">
        <v>22</v>
      </c>
      <c r="H622" t="s">
        <v>23</v>
      </c>
      <c r="I622" s="2">
        <v>1</v>
      </c>
      <c r="J622" s="2">
        <v>2000000</v>
      </c>
      <c r="K622" s="2">
        <v>2000000</v>
      </c>
      <c r="L622" s="3">
        <v>0</v>
      </c>
      <c r="M622" t="s">
        <v>77</v>
      </c>
      <c r="N622" t="s">
        <v>1290</v>
      </c>
    </row>
    <row r="623" spans="1:14" x14ac:dyDescent="0.25">
      <c r="A623" t="s">
        <v>1291</v>
      </c>
      <c r="B623" s="10">
        <v>46188</v>
      </c>
      <c r="C623" t="str">
        <f t="shared" si="10"/>
        <v>June</v>
      </c>
      <c r="D623" t="s">
        <v>39</v>
      </c>
      <c r="E623" t="s">
        <v>40</v>
      </c>
      <c r="F623" t="s">
        <v>41</v>
      </c>
      <c r="G623" t="s">
        <v>22</v>
      </c>
      <c r="H623" t="s">
        <v>23</v>
      </c>
      <c r="I623" s="2">
        <v>13</v>
      </c>
      <c r="J623" s="2">
        <v>12000000</v>
      </c>
      <c r="K623" s="2">
        <v>156000000</v>
      </c>
      <c r="L623" s="3">
        <v>0</v>
      </c>
      <c r="M623" t="s">
        <v>19</v>
      </c>
      <c r="N623" t="s">
        <v>1292</v>
      </c>
    </row>
    <row r="624" spans="1:14" x14ac:dyDescent="0.25">
      <c r="A624" t="s">
        <v>1293</v>
      </c>
      <c r="B624" s="10">
        <v>46178</v>
      </c>
      <c r="C624" t="str">
        <f t="shared" si="10"/>
        <v>June</v>
      </c>
      <c r="D624" t="s">
        <v>58</v>
      </c>
      <c r="E624" t="s">
        <v>59</v>
      </c>
      <c r="F624" t="s">
        <v>28</v>
      </c>
      <c r="G624" t="s">
        <v>65</v>
      </c>
      <c r="H624" t="s">
        <v>66</v>
      </c>
      <c r="I624" s="2">
        <v>7</v>
      </c>
      <c r="J624" s="2">
        <v>5500000</v>
      </c>
      <c r="K624" s="2">
        <v>38500000</v>
      </c>
      <c r="L624" s="3">
        <v>0.15</v>
      </c>
      <c r="M624" t="s">
        <v>19</v>
      </c>
      <c r="N624" t="s">
        <v>1294</v>
      </c>
    </row>
    <row r="625" spans="1:14" x14ac:dyDescent="0.25">
      <c r="A625" t="s">
        <v>1295</v>
      </c>
      <c r="B625" s="10">
        <v>46087</v>
      </c>
      <c r="C625" t="str">
        <f t="shared" si="10"/>
        <v>March</v>
      </c>
      <c r="D625" t="s">
        <v>26</v>
      </c>
      <c r="E625" t="s">
        <v>27</v>
      </c>
      <c r="F625" t="s">
        <v>28</v>
      </c>
      <c r="G625" t="s">
        <v>42</v>
      </c>
      <c r="H625" t="s">
        <v>43</v>
      </c>
      <c r="I625" s="2">
        <v>5</v>
      </c>
      <c r="J625" s="2">
        <v>2500000</v>
      </c>
      <c r="K625" s="2">
        <v>12500000</v>
      </c>
      <c r="L625" s="3">
        <v>0.15</v>
      </c>
      <c r="M625" t="s">
        <v>31</v>
      </c>
      <c r="N625" t="s">
        <v>1296</v>
      </c>
    </row>
    <row r="626" spans="1:14" x14ac:dyDescent="0.25">
      <c r="A626" t="s">
        <v>1297</v>
      </c>
      <c r="B626" s="10">
        <v>46024</v>
      </c>
      <c r="C626" t="str">
        <f t="shared" si="10"/>
        <v>January</v>
      </c>
      <c r="D626" t="s">
        <v>46</v>
      </c>
      <c r="E626" t="s">
        <v>47</v>
      </c>
      <c r="F626" t="s">
        <v>48</v>
      </c>
      <c r="G626" t="s">
        <v>22</v>
      </c>
      <c r="H626" t="s">
        <v>23</v>
      </c>
      <c r="I626" s="2">
        <v>11</v>
      </c>
      <c r="J626" s="2">
        <v>750000</v>
      </c>
      <c r="K626" s="2">
        <v>8250000</v>
      </c>
      <c r="L626" s="3">
        <v>0.1</v>
      </c>
      <c r="M626" t="s">
        <v>19</v>
      </c>
      <c r="N626" t="s">
        <v>1298</v>
      </c>
    </row>
    <row r="627" spans="1:14" x14ac:dyDescent="0.25">
      <c r="A627" t="s">
        <v>1299</v>
      </c>
      <c r="B627" s="10">
        <v>46050</v>
      </c>
      <c r="C627" t="str">
        <f t="shared" si="10"/>
        <v>January</v>
      </c>
      <c r="D627" t="s">
        <v>62</v>
      </c>
      <c r="E627" t="s">
        <v>63</v>
      </c>
      <c r="F627" t="s">
        <v>64</v>
      </c>
      <c r="G627" t="s">
        <v>17</v>
      </c>
      <c r="H627" t="s">
        <v>18</v>
      </c>
      <c r="I627" s="2">
        <v>6</v>
      </c>
      <c r="J627" s="2">
        <v>4000000</v>
      </c>
      <c r="K627" s="2">
        <v>24000000</v>
      </c>
      <c r="L627" s="3">
        <v>0.1</v>
      </c>
      <c r="M627" t="s">
        <v>51</v>
      </c>
      <c r="N627" t="s">
        <v>1300</v>
      </c>
    </row>
    <row r="628" spans="1:14" x14ac:dyDescent="0.25">
      <c r="A628" t="s">
        <v>1301</v>
      </c>
      <c r="B628" s="10">
        <v>46243</v>
      </c>
      <c r="C628" t="str">
        <f t="shared" si="10"/>
        <v>August</v>
      </c>
      <c r="D628" t="s">
        <v>58</v>
      </c>
      <c r="E628" t="s">
        <v>59</v>
      </c>
      <c r="F628" t="s">
        <v>28</v>
      </c>
      <c r="G628" t="s">
        <v>65</v>
      </c>
      <c r="H628" t="s">
        <v>66</v>
      </c>
      <c r="I628" s="2">
        <v>11</v>
      </c>
      <c r="J628" s="2">
        <v>5500000</v>
      </c>
      <c r="K628" s="2">
        <v>60500000</v>
      </c>
      <c r="L628" s="3">
        <v>0.1</v>
      </c>
      <c r="M628" t="s">
        <v>19</v>
      </c>
      <c r="N628" t="s">
        <v>1302</v>
      </c>
    </row>
    <row r="629" spans="1:14" x14ac:dyDescent="0.25">
      <c r="A629" t="s">
        <v>1303</v>
      </c>
      <c r="B629" s="10">
        <v>46155</v>
      </c>
      <c r="C629" t="str">
        <f t="shared" si="10"/>
        <v>May</v>
      </c>
      <c r="D629" t="s">
        <v>26</v>
      </c>
      <c r="E629" t="s">
        <v>27</v>
      </c>
      <c r="F629" t="s">
        <v>28</v>
      </c>
      <c r="G629" t="s">
        <v>17</v>
      </c>
      <c r="H629" t="s">
        <v>18</v>
      </c>
      <c r="I629" s="2">
        <v>13</v>
      </c>
      <c r="J629" s="2">
        <v>2500000</v>
      </c>
      <c r="K629" s="2">
        <v>32500000</v>
      </c>
      <c r="L629" s="3">
        <v>0.15</v>
      </c>
      <c r="M629" t="s">
        <v>51</v>
      </c>
      <c r="N629" t="s">
        <v>1304</v>
      </c>
    </row>
    <row r="630" spans="1:14" x14ac:dyDescent="0.25">
      <c r="A630" t="s">
        <v>1305</v>
      </c>
      <c r="B630" s="10">
        <v>46197</v>
      </c>
      <c r="C630" t="str">
        <f t="shared" si="10"/>
        <v>June</v>
      </c>
      <c r="D630" t="s">
        <v>39</v>
      </c>
      <c r="E630" t="s">
        <v>40</v>
      </c>
      <c r="F630" t="s">
        <v>41</v>
      </c>
      <c r="G630" t="s">
        <v>17</v>
      </c>
      <c r="H630" t="s">
        <v>18</v>
      </c>
      <c r="I630" s="2">
        <v>11</v>
      </c>
      <c r="J630" s="2">
        <v>12000000</v>
      </c>
      <c r="K630" s="2">
        <v>132000000</v>
      </c>
      <c r="L630" s="3">
        <v>0.15</v>
      </c>
      <c r="M630" t="s">
        <v>19</v>
      </c>
      <c r="N630" t="s">
        <v>1306</v>
      </c>
    </row>
    <row r="631" spans="1:14" x14ac:dyDescent="0.25">
      <c r="A631" t="s">
        <v>1307</v>
      </c>
      <c r="B631" s="10">
        <v>46130</v>
      </c>
      <c r="C631" t="str">
        <f t="shared" si="10"/>
        <v>April</v>
      </c>
      <c r="D631" t="s">
        <v>34</v>
      </c>
      <c r="E631" t="s">
        <v>35</v>
      </c>
      <c r="F631" t="s">
        <v>36</v>
      </c>
      <c r="G631" t="s">
        <v>42</v>
      </c>
      <c r="H631" t="s">
        <v>43</v>
      </c>
      <c r="I631" s="2">
        <v>12</v>
      </c>
      <c r="J631" s="2">
        <v>2000000</v>
      </c>
      <c r="K631" s="2">
        <v>24000000</v>
      </c>
      <c r="L631" s="3">
        <v>0</v>
      </c>
      <c r="M631" t="s">
        <v>31</v>
      </c>
      <c r="N631" t="s">
        <v>1308</v>
      </c>
    </row>
    <row r="632" spans="1:14" x14ac:dyDescent="0.25">
      <c r="A632" t="s">
        <v>1309</v>
      </c>
      <c r="B632" s="10">
        <v>46169</v>
      </c>
      <c r="C632" t="str">
        <f t="shared" si="10"/>
        <v>May</v>
      </c>
      <c r="D632" t="s">
        <v>26</v>
      </c>
      <c r="E632" t="s">
        <v>27</v>
      </c>
      <c r="F632" t="s">
        <v>28</v>
      </c>
      <c r="G632" t="s">
        <v>65</v>
      </c>
      <c r="H632" t="s">
        <v>66</v>
      </c>
      <c r="I632" s="2">
        <v>12</v>
      </c>
      <c r="J632" s="2">
        <v>2500000</v>
      </c>
      <c r="K632" s="2">
        <v>30000000</v>
      </c>
      <c r="L632" s="3">
        <v>0.05</v>
      </c>
      <c r="M632" t="s">
        <v>51</v>
      </c>
      <c r="N632" t="s">
        <v>1310</v>
      </c>
    </row>
    <row r="633" spans="1:14" x14ac:dyDescent="0.25">
      <c r="A633" t="s">
        <v>1311</v>
      </c>
      <c r="B633" s="10">
        <v>46186</v>
      </c>
      <c r="C633" t="str">
        <f t="shared" si="10"/>
        <v>June</v>
      </c>
      <c r="D633" t="s">
        <v>62</v>
      </c>
      <c r="E633" t="s">
        <v>63</v>
      </c>
      <c r="F633" t="s">
        <v>64</v>
      </c>
      <c r="G633" t="s">
        <v>65</v>
      </c>
      <c r="H633" t="s">
        <v>66</v>
      </c>
      <c r="I633" s="2">
        <v>9</v>
      </c>
      <c r="J633" s="2">
        <v>4000000</v>
      </c>
      <c r="K633" s="2">
        <v>36000000</v>
      </c>
      <c r="L633" s="3">
        <v>0.1</v>
      </c>
      <c r="M633" t="s">
        <v>19</v>
      </c>
      <c r="N633" t="s">
        <v>1312</v>
      </c>
    </row>
    <row r="634" spans="1:14" x14ac:dyDescent="0.25">
      <c r="A634" t="s">
        <v>1313</v>
      </c>
      <c r="B634" s="10">
        <v>46191</v>
      </c>
      <c r="C634" t="str">
        <f t="shared" si="10"/>
        <v>June</v>
      </c>
      <c r="D634" t="s">
        <v>39</v>
      </c>
      <c r="E634" t="s">
        <v>40</v>
      </c>
      <c r="F634" t="s">
        <v>41</v>
      </c>
      <c r="G634" t="s">
        <v>65</v>
      </c>
      <c r="H634" t="s">
        <v>66</v>
      </c>
      <c r="I634" s="2">
        <v>2</v>
      </c>
      <c r="J634" s="2">
        <v>12000000</v>
      </c>
      <c r="K634" s="2">
        <v>24000000</v>
      </c>
      <c r="L634" s="3">
        <v>0.15</v>
      </c>
      <c r="M634" t="s">
        <v>19</v>
      </c>
      <c r="N634" t="s">
        <v>1314</v>
      </c>
    </row>
    <row r="635" spans="1:14" x14ac:dyDescent="0.25">
      <c r="A635" t="s">
        <v>1315</v>
      </c>
      <c r="B635" s="10">
        <v>46089</v>
      </c>
      <c r="C635" t="str">
        <f t="shared" si="10"/>
        <v>March</v>
      </c>
      <c r="D635" t="s">
        <v>39</v>
      </c>
      <c r="E635" t="s">
        <v>40</v>
      </c>
      <c r="F635" t="s">
        <v>41</v>
      </c>
      <c r="G635" t="s">
        <v>65</v>
      </c>
      <c r="H635" t="s">
        <v>66</v>
      </c>
      <c r="I635" s="2">
        <v>11</v>
      </c>
      <c r="J635" s="2">
        <v>12000000</v>
      </c>
      <c r="K635" s="2">
        <v>132000000</v>
      </c>
      <c r="L635" s="3">
        <v>0</v>
      </c>
      <c r="M635" t="s">
        <v>19</v>
      </c>
      <c r="N635" t="s">
        <v>1316</v>
      </c>
    </row>
    <row r="636" spans="1:14" x14ac:dyDescent="0.25">
      <c r="A636" t="s">
        <v>1317</v>
      </c>
      <c r="B636" s="10">
        <v>46080</v>
      </c>
      <c r="C636" t="str">
        <f t="shared" si="10"/>
        <v>February</v>
      </c>
      <c r="D636" t="s">
        <v>58</v>
      </c>
      <c r="E636" t="s">
        <v>59</v>
      </c>
      <c r="F636" t="s">
        <v>28</v>
      </c>
      <c r="G636" t="s">
        <v>42</v>
      </c>
      <c r="H636" t="s">
        <v>43</v>
      </c>
      <c r="I636" s="2">
        <v>13</v>
      </c>
      <c r="J636" s="2">
        <v>5500000</v>
      </c>
      <c r="K636" s="2">
        <v>71500000</v>
      </c>
      <c r="L636" s="3">
        <v>0.1</v>
      </c>
      <c r="M636" t="s">
        <v>19</v>
      </c>
      <c r="N636" t="s">
        <v>1318</v>
      </c>
    </row>
    <row r="637" spans="1:14" x14ac:dyDescent="0.25">
      <c r="A637" t="s">
        <v>1319</v>
      </c>
      <c r="B637" s="10">
        <v>46172</v>
      </c>
      <c r="C637" t="str">
        <f t="shared" si="10"/>
        <v>May</v>
      </c>
      <c r="D637" t="s">
        <v>58</v>
      </c>
      <c r="E637" t="s">
        <v>59</v>
      </c>
      <c r="F637" t="s">
        <v>28</v>
      </c>
      <c r="G637" t="s">
        <v>42</v>
      </c>
      <c r="H637" t="s">
        <v>43</v>
      </c>
      <c r="I637" s="2">
        <v>14</v>
      </c>
      <c r="J637" s="2">
        <v>5500000</v>
      </c>
      <c r="K637" s="2">
        <v>77000000</v>
      </c>
      <c r="L637" s="3">
        <v>0</v>
      </c>
      <c r="M637" t="s">
        <v>77</v>
      </c>
      <c r="N637" t="s">
        <v>1320</v>
      </c>
    </row>
    <row r="638" spans="1:14" x14ac:dyDescent="0.25">
      <c r="A638" t="s">
        <v>1321</v>
      </c>
      <c r="B638" s="10">
        <v>46185</v>
      </c>
      <c r="C638" t="str">
        <f t="shared" si="10"/>
        <v>June</v>
      </c>
      <c r="D638" t="s">
        <v>14</v>
      </c>
      <c r="E638" t="s">
        <v>15</v>
      </c>
      <c r="F638" t="s">
        <v>16</v>
      </c>
      <c r="G638" t="s">
        <v>42</v>
      </c>
      <c r="H638" t="s">
        <v>43</v>
      </c>
      <c r="I638" s="2">
        <v>15</v>
      </c>
      <c r="J638" s="2">
        <v>3500000</v>
      </c>
      <c r="K638" s="2">
        <v>52500000</v>
      </c>
      <c r="L638" s="3">
        <v>0.05</v>
      </c>
      <c r="M638" t="s">
        <v>31</v>
      </c>
      <c r="N638" t="s">
        <v>1322</v>
      </c>
    </row>
    <row r="639" spans="1:14" x14ac:dyDescent="0.25">
      <c r="A639" t="s">
        <v>1323</v>
      </c>
      <c r="B639" s="10">
        <v>46197</v>
      </c>
      <c r="C639" t="str">
        <f t="shared" si="10"/>
        <v>June</v>
      </c>
      <c r="D639" t="s">
        <v>34</v>
      </c>
      <c r="E639" t="s">
        <v>35</v>
      </c>
      <c r="F639" t="s">
        <v>36</v>
      </c>
      <c r="G639" t="s">
        <v>22</v>
      </c>
      <c r="H639" t="s">
        <v>23</v>
      </c>
      <c r="I639" s="2">
        <v>5</v>
      </c>
      <c r="J639" s="2">
        <v>2000000</v>
      </c>
      <c r="K639" s="2">
        <v>10000000</v>
      </c>
      <c r="L639" s="3">
        <v>0.15</v>
      </c>
      <c r="M639" t="s">
        <v>19</v>
      </c>
      <c r="N639" t="s">
        <v>1324</v>
      </c>
    </row>
    <row r="640" spans="1:14" x14ac:dyDescent="0.25">
      <c r="A640" t="s">
        <v>1325</v>
      </c>
      <c r="B640" s="10">
        <v>46241</v>
      </c>
      <c r="C640" t="str">
        <f t="shared" si="10"/>
        <v>August</v>
      </c>
      <c r="D640" t="s">
        <v>39</v>
      </c>
      <c r="E640" t="s">
        <v>40</v>
      </c>
      <c r="F640" t="s">
        <v>41</v>
      </c>
      <c r="G640" t="s">
        <v>29</v>
      </c>
      <c r="H640" t="s">
        <v>30</v>
      </c>
      <c r="I640" s="2">
        <v>4</v>
      </c>
      <c r="J640" s="2">
        <v>12000000</v>
      </c>
      <c r="K640" s="2">
        <v>48000000</v>
      </c>
      <c r="L640" s="3">
        <v>0.1</v>
      </c>
      <c r="M640" t="s">
        <v>77</v>
      </c>
      <c r="N640" t="s">
        <v>1326</v>
      </c>
    </row>
    <row r="641" spans="1:14" x14ac:dyDescent="0.25">
      <c r="A641" t="s">
        <v>1327</v>
      </c>
      <c r="B641" s="10">
        <v>46140</v>
      </c>
      <c r="C641" t="str">
        <f t="shared" si="10"/>
        <v>April</v>
      </c>
      <c r="D641" t="s">
        <v>39</v>
      </c>
      <c r="E641" t="s">
        <v>40</v>
      </c>
      <c r="F641" t="s">
        <v>41</v>
      </c>
      <c r="G641" t="s">
        <v>65</v>
      </c>
      <c r="H641" t="s">
        <v>66</v>
      </c>
      <c r="I641" s="2">
        <v>14</v>
      </c>
      <c r="J641" s="2">
        <v>12000000</v>
      </c>
      <c r="K641" s="2">
        <v>168000000</v>
      </c>
      <c r="L641" s="3">
        <v>0.05</v>
      </c>
      <c r="M641" t="s">
        <v>19</v>
      </c>
      <c r="N641" t="s">
        <v>1328</v>
      </c>
    </row>
    <row r="642" spans="1:14" x14ac:dyDescent="0.25">
      <c r="A642" t="s">
        <v>1329</v>
      </c>
      <c r="B642" s="10">
        <v>46108</v>
      </c>
      <c r="C642" t="str">
        <f t="shared" si="10"/>
        <v>March</v>
      </c>
      <c r="D642" t="s">
        <v>39</v>
      </c>
      <c r="E642" t="s">
        <v>40</v>
      </c>
      <c r="F642" t="s">
        <v>41</v>
      </c>
      <c r="G642" t="s">
        <v>65</v>
      </c>
      <c r="H642" t="s">
        <v>66</v>
      </c>
      <c r="I642" s="2">
        <v>11</v>
      </c>
      <c r="J642" s="2">
        <v>12000000</v>
      </c>
      <c r="K642" s="2">
        <v>132000000</v>
      </c>
      <c r="L642" s="3">
        <v>0</v>
      </c>
      <c r="M642" t="s">
        <v>19</v>
      </c>
      <c r="N642" t="s">
        <v>1330</v>
      </c>
    </row>
    <row r="643" spans="1:14" x14ac:dyDescent="0.25">
      <c r="A643" t="s">
        <v>1331</v>
      </c>
      <c r="B643" s="10">
        <v>46093</v>
      </c>
      <c r="C643" t="str">
        <f t="shared" ref="C643:C706" si="11">TEXT(B643, "MMMM")</f>
        <v>March</v>
      </c>
      <c r="D643" t="s">
        <v>26</v>
      </c>
      <c r="E643" t="s">
        <v>27</v>
      </c>
      <c r="F643" t="s">
        <v>28</v>
      </c>
      <c r="G643" t="s">
        <v>29</v>
      </c>
      <c r="H643" t="s">
        <v>30</v>
      </c>
      <c r="I643" s="2">
        <v>10</v>
      </c>
      <c r="J643" s="2">
        <v>2500000</v>
      </c>
      <c r="K643" s="2">
        <v>25000000</v>
      </c>
      <c r="L643" s="3">
        <v>0.05</v>
      </c>
      <c r="M643" t="s">
        <v>77</v>
      </c>
      <c r="N643" t="s">
        <v>1332</v>
      </c>
    </row>
    <row r="644" spans="1:14" x14ac:dyDescent="0.25">
      <c r="A644" t="s">
        <v>1333</v>
      </c>
      <c r="B644" s="10">
        <v>46218</v>
      </c>
      <c r="C644" t="str">
        <f t="shared" si="11"/>
        <v>July</v>
      </c>
      <c r="D644" t="s">
        <v>14</v>
      </c>
      <c r="E644" t="s">
        <v>15</v>
      </c>
      <c r="F644" t="s">
        <v>16</v>
      </c>
      <c r="G644" t="s">
        <v>29</v>
      </c>
      <c r="H644" t="s">
        <v>30</v>
      </c>
      <c r="I644" s="2">
        <v>10</v>
      </c>
      <c r="J644" s="2">
        <v>3500000</v>
      </c>
      <c r="K644" s="2">
        <v>35000000</v>
      </c>
      <c r="L644" s="3">
        <v>0.15</v>
      </c>
      <c r="M644" t="s">
        <v>51</v>
      </c>
      <c r="N644" t="s">
        <v>1334</v>
      </c>
    </row>
    <row r="645" spans="1:14" x14ac:dyDescent="0.25">
      <c r="A645" t="s">
        <v>1335</v>
      </c>
      <c r="B645" s="10">
        <v>46126</v>
      </c>
      <c r="C645" t="str">
        <f t="shared" si="11"/>
        <v>April</v>
      </c>
      <c r="D645" t="s">
        <v>34</v>
      </c>
      <c r="E645" t="s">
        <v>35</v>
      </c>
      <c r="F645" t="s">
        <v>36</v>
      </c>
      <c r="G645" t="s">
        <v>42</v>
      </c>
      <c r="H645" t="s">
        <v>43</v>
      </c>
      <c r="I645" s="2">
        <v>7</v>
      </c>
      <c r="J645" s="2">
        <v>2000000</v>
      </c>
      <c r="K645" s="2">
        <v>14000000</v>
      </c>
      <c r="L645" s="3">
        <v>0</v>
      </c>
      <c r="M645" t="s">
        <v>19</v>
      </c>
      <c r="N645" t="s">
        <v>1336</v>
      </c>
    </row>
    <row r="646" spans="1:14" x14ac:dyDescent="0.25">
      <c r="A646" t="s">
        <v>1337</v>
      </c>
      <c r="B646" s="10">
        <v>46074</v>
      </c>
      <c r="C646" t="str">
        <f t="shared" si="11"/>
        <v>February</v>
      </c>
      <c r="D646" t="s">
        <v>46</v>
      </c>
      <c r="E646" t="s">
        <v>47</v>
      </c>
      <c r="F646" t="s">
        <v>48</v>
      </c>
      <c r="G646" t="s">
        <v>17</v>
      </c>
      <c r="H646" t="s">
        <v>18</v>
      </c>
      <c r="I646" s="2">
        <v>15</v>
      </c>
      <c r="J646" s="2">
        <v>750000</v>
      </c>
      <c r="K646" s="2">
        <v>11250000</v>
      </c>
      <c r="L646" s="3">
        <v>0.1</v>
      </c>
      <c r="M646" t="s">
        <v>31</v>
      </c>
      <c r="N646" t="s">
        <v>1338</v>
      </c>
    </row>
    <row r="647" spans="1:14" x14ac:dyDescent="0.25">
      <c r="A647" t="s">
        <v>1339</v>
      </c>
      <c r="B647" s="10">
        <v>46027</v>
      </c>
      <c r="C647" t="str">
        <f t="shared" si="11"/>
        <v>January</v>
      </c>
      <c r="D647" t="s">
        <v>92</v>
      </c>
      <c r="E647" t="s">
        <v>93</v>
      </c>
      <c r="F647" t="s">
        <v>16</v>
      </c>
      <c r="G647" t="s">
        <v>29</v>
      </c>
      <c r="H647" t="s">
        <v>30</v>
      </c>
      <c r="I647" s="2">
        <v>4</v>
      </c>
      <c r="J647" s="2">
        <v>1500000</v>
      </c>
      <c r="K647" s="2">
        <v>6000000</v>
      </c>
      <c r="L647" s="3">
        <v>0.1</v>
      </c>
      <c r="M647" t="s">
        <v>19</v>
      </c>
      <c r="N647" t="s">
        <v>1340</v>
      </c>
    </row>
    <row r="648" spans="1:14" x14ac:dyDescent="0.25">
      <c r="A648" t="s">
        <v>1341</v>
      </c>
      <c r="B648" s="10">
        <v>46049</v>
      </c>
      <c r="C648" t="str">
        <f t="shared" si="11"/>
        <v>January</v>
      </c>
      <c r="D648" t="s">
        <v>34</v>
      </c>
      <c r="E648" t="s">
        <v>35</v>
      </c>
      <c r="F648" t="s">
        <v>36</v>
      </c>
      <c r="G648" t="s">
        <v>22</v>
      </c>
      <c r="H648" t="s">
        <v>23</v>
      </c>
      <c r="I648" s="2">
        <v>10</v>
      </c>
      <c r="J648" s="2">
        <v>2000000</v>
      </c>
      <c r="K648" s="2">
        <v>20000000</v>
      </c>
      <c r="L648" s="3">
        <v>0.1</v>
      </c>
      <c r="M648" t="s">
        <v>19</v>
      </c>
      <c r="N648" t="s">
        <v>1342</v>
      </c>
    </row>
    <row r="649" spans="1:14" x14ac:dyDescent="0.25">
      <c r="A649" t="s">
        <v>1343</v>
      </c>
      <c r="B649" s="10">
        <v>46233</v>
      </c>
      <c r="C649" t="str">
        <f t="shared" si="11"/>
        <v>July</v>
      </c>
      <c r="D649" t="s">
        <v>92</v>
      </c>
      <c r="E649" t="s">
        <v>93</v>
      </c>
      <c r="F649" t="s">
        <v>16</v>
      </c>
      <c r="G649" t="s">
        <v>65</v>
      </c>
      <c r="H649" t="s">
        <v>66</v>
      </c>
      <c r="I649" s="2">
        <v>5</v>
      </c>
      <c r="J649" s="2">
        <v>1500000</v>
      </c>
      <c r="K649" s="2">
        <v>7500000</v>
      </c>
      <c r="L649" s="3">
        <v>0.15</v>
      </c>
      <c r="M649" t="s">
        <v>51</v>
      </c>
      <c r="N649" t="s">
        <v>1344</v>
      </c>
    </row>
    <row r="650" spans="1:14" x14ac:dyDescent="0.25">
      <c r="A650" t="s">
        <v>1345</v>
      </c>
      <c r="B650" s="10">
        <v>46175</v>
      </c>
      <c r="C650" t="str">
        <f t="shared" si="11"/>
        <v>June</v>
      </c>
      <c r="D650" t="s">
        <v>46</v>
      </c>
      <c r="E650" t="s">
        <v>47</v>
      </c>
      <c r="F650" t="s">
        <v>48</v>
      </c>
      <c r="G650" t="s">
        <v>42</v>
      </c>
      <c r="H650" t="s">
        <v>43</v>
      </c>
      <c r="I650" s="2">
        <v>15</v>
      </c>
      <c r="J650" s="2">
        <v>750000</v>
      </c>
      <c r="K650" s="2">
        <v>11250000</v>
      </c>
      <c r="L650" s="3">
        <v>0.05</v>
      </c>
      <c r="M650" t="s">
        <v>19</v>
      </c>
      <c r="N650" t="s">
        <v>1346</v>
      </c>
    </row>
    <row r="651" spans="1:14" x14ac:dyDescent="0.25">
      <c r="A651" t="s">
        <v>1347</v>
      </c>
      <c r="B651" s="10">
        <v>46114</v>
      </c>
      <c r="C651" t="str">
        <f t="shared" si="11"/>
        <v>April</v>
      </c>
      <c r="D651" t="s">
        <v>26</v>
      </c>
      <c r="E651" t="s">
        <v>27</v>
      </c>
      <c r="F651" t="s">
        <v>28</v>
      </c>
      <c r="G651" t="s">
        <v>29</v>
      </c>
      <c r="H651" t="s">
        <v>30</v>
      </c>
      <c r="I651" s="2">
        <v>15</v>
      </c>
      <c r="J651" s="2">
        <v>2500000</v>
      </c>
      <c r="K651" s="2">
        <v>37500000</v>
      </c>
      <c r="L651" s="3">
        <v>0.15</v>
      </c>
      <c r="M651" t="s">
        <v>19</v>
      </c>
      <c r="N651" t="s">
        <v>1348</v>
      </c>
    </row>
    <row r="652" spans="1:14" x14ac:dyDescent="0.25">
      <c r="A652" t="s">
        <v>1349</v>
      </c>
      <c r="B652" s="10">
        <v>46080</v>
      </c>
      <c r="C652" t="str">
        <f t="shared" si="11"/>
        <v>February</v>
      </c>
      <c r="D652" t="s">
        <v>39</v>
      </c>
      <c r="E652" t="s">
        <v>40</v>
      </c>
      <c r="F652" t="s">
        <v>41</v>
      </c>
      <c r="G652" t="s">
        <v>29</v>
      </c>
      <c r="H652" t="s">
        <v>30</v>
      </c>
      <c r="I652" s="2">
        <v>12</v>
      </c>
      <c r="J652" s="2">
        <v>12000000</v>
      </c>
      <c r="K652" s="2">
        <v>144000000</v>
      </c>
      <c r="L652" s="3">
        <v>0</v>
      </c>
      <c r="M652" t="s">
        <v>31</v>
      </c>
      <c r="N652" t="s">
        <v>1350</v>
      </c>
    </row>
    <row r="653" spans="1:14" x14ac:dyDescent="0.25">
      <c r="A653" t="s">
        <v>1351</v>
      </c>
      <c r="B653" s="10">
        <v>46066</v>
      </c>
      <c r="C653" t="str">
        <f t="shared" si="11"/>
        <v>February</v>
      </c>
      <c r="D653" t="s">
        <v>14</v>
      </c>
      <c r="E653" t="s">
        <v>15</v>
      </c>
      <c r="F653" t="s">
        <v>16</v>
      </c>
      <c r="G653" t="s">
        <v>65</v>
      </c>
      <c r="H653" t="s">
        <v>66</v>
      </c>
      <c r="I653" s="2">
        <v>12</v>
      </c>
      <c r="J653" s="2">
        <v>3500000</v>
      </c>
      <c r="K653" s="2">
        <v>42000000</v>
      </c>
      <c r="L653" s="3">
        <v>0</v>
      </c>
      <c r="M653" t="s">
        <v>77</v>
      </c>
      <c r="N653" t="s">
        <v>1352</v>
      </c>
    </row>
    <row r="654" spans="1:14" x14ac:dyDescent="0.25">
      <c r="A654" t="s">
        <v>1353</v>
      </c>
      <c r="B654" s="10">
        <v>46186</v>
      </c>
      <c r="C654" t="str">
        <f t="shared" si="11"/>
        <v>June</v>
      </c>
      <c r="D654" t="s">
        <v>58</v>
      </c>
      <c r="E654" t="s">
        <v>59</v>
      </c>
      <c r="F654" t="s">
        <v>28</v>
      </c>
      <c r="G654" t="s">
        <v>22</v>
      </c>
      <c r="H654" t="s">
        <v>23</v>
      </c>
      <c r="I654" s="2">
        <v>10</v>
      </c>
      <c r="J654" s="2">
        <v>5500000</v>
      </c>
      <c r="K654" s="2">
        <v>55000000</v>
      </c>
      <c r="L654" s="3">
        <v>0</v>
      </c>
      <c r="M654" t="s">
        <v>31</v>
      </c>
      <c r="N654" t="s">
        <v>1354</v>
      </c>
    </row>
    <row r="655" spans="1:14" x14ac:dyDescent="0.25">
      <c r="A655" t="s">
        <v>1355</v>
      </c>
      <c r="B655" s="10">
        <v>46192</v>
      </c>
      <c r="C655" t="str">
        <f t="shared" si="11"/>
        <v>June</v>
      </c>
      <c r="D655" t="s">
        <v>14</v>
      </c>
      <c r="E655" t="s">
        <v>15</v>
      </c>
      <c r="F655" t="s">
        <v>16</v>
      </c>
      <c r="G655" t="s">
        <v>17</v>
      </c>
      <c r="H655" t="s">
        <v>18</v>
      </c>
      <c r="I655" s="2">
        <v>1</v>
      </c>
      <c r="J655" s="2">
        <v>3500000</v>
      </c>
      <c r="K655" s="2">
        <v>3500000</v>
      </c>
      <c r="L655" s="3">
        <v>0</v>
      </c>
      <c r="M655" t="s">
        <v>77</v>
      </c>
      <c r="N655" t="s">
        <v>1356</v>
      </c>
    </row>
    <row r="656" spans="1:14" x14ac:dyDescent="0.25">
      <c r="A656" t="s">
        <v>1357</v>
      </c>
      <c r="B656" s="10">
        <v>46120</v>
      </c>
      <c r="C656" t="str">
        <f t="shared" si="11"/>
        <v>April</v>
      </c>
      <c r="D656" t="s">
        <v>14</v>
      </c>
      <c r="E656" t="s">
        <v>15</v>
      </c>
      <c r="F656" t="s">
        <v>16</v>
      </c>
      <c r="G656" t="s">
        <v>22</v>
      </c>
      <c r="H656" t="s">
        <v>23</v>
      </c>
      <c r="I656" s="2">
        <v>5</v>
      </c>
      <c r="J656" s="2">
        <v>3500000</v>
      </c>
      <c r="K656" s="2">
        <v>17500000</v>
      </c>
      <c r="L656" s="3">
        <v>0.15</v>
      </c>
      <c r="M656" t="s">
        <v>51</v>
      </c>
      <c r="N656" t="s">
        <v>1358</v>
      </c>
    </row>
    <row r="657" spans="1:14" x14ac:dyDescent="0.25">
      <c r="A657" t="s">
        <v>1359</v>
      </c>
      <c r="B657" s="10">
        <v>46075</v>
      </c>
      <c r="C657" t="str">
        <f t="shared" si="11"/>
        <v>February</v>
      </c>
      <c r="D657" t="s">
        <v>92</v>
      </c>
      <c r="E657" t="s">
        <v>93</v>
      </c>
      <c r="F657" t="s">
        <v>16</v>
      </c>
      <c r="G657" t="s">
        <v>65</v>
      </c>
      <c r="H657" t="s">
        <v>66</v>
      </c>
      <c r="I657" s="2">
        <v>7</v>
      </c>
      <c r="J657" s="2">
        <v>1500000</v>
      </c>
      <c r="K657" s="2">
        <v>10500000</v>
      </c>
      <c r="L657" s="3">
        <v>0</v>
      </c>
      <c r="M657" t="s">
        <v>51</v>
      </c>
      <c r="N657" t="s">
        <v>1360</v>
      </c>
    </row>
    <row r="658" spans="1:14" x14ac:dyDescent="0.25">
      <c r="A658" t="s">
        <v>1361</v>
      </c>
      <c r="B658" s="10">
        <v>46092</v>
      </c>
      <c r="C658" t="str">
        <f t="shared" si="11"/>
        <v>March</v>
      </c>
      <c r="D658" t="s">
        <v>39</v>
      </c>
      <c r="E658" t="s">
        <v>40</v>
      </c>
      <c r="F658" t="s">
        <v>41</v>
      </c>
      <c r="G658" t="s">
        <v>42</v>
      </c>
      <c r="H658" t="s">
        <v>43</v>
      </c>
      <c r="I658" s="2">
        <v>14</v>
      </c>
      <c r="J658" s="2">
        <v>12000000</v>
      </c>
      <c r="K658" s="2">
        <v>168000000</v>
      </c>
      <c r="L658" s="3">
        <v>0</v>
      </c>
      <c r="M658" t="s">
        <v>31</v>
      </c>
      <c r="N658" t="s">
        <v>1362</v>
      </c>
    </row>
    <row r="659" spans="1:14" x14ac:dyDescent="0.25">
      <c r="A659" t="s">
        <v>1363</v>
      </c>
      <c r="B659" s="10">
        <v>46181</v>
      </c>
      <c r="C659" t="str">
        <f t="shared" si="11"/>
        <v>June</v>
      </c>
      <c r="D659" t="s">
        <v>14</v>
      </c>
      <c r="E659" t="s">
        <v>15</v>
      </c>
      <c r="F659" t="s">
        <v>16</v>
      </c>
      <c r="G659" t="s">
        <v>65</v>
      </c>
      <c r="H659" t="s">
        <v>66</v>
      </c>
      <c r="I659" s="2">
        <v>2</v>
      </c>
      <c r="J659" s="2">
        <v>3500000</v>
      </c>
      <c r="K659" s="2">
        <v>7000000</v>
      </c>
      <c r="L659" s="3">
        <v>0</v>
      </c>
      <c r="M659" t="s">
        <v>77</v>
      </c>
      <c r="N659" t="s">
        <v>1364</v>
      </c>
    </row>
    <row r="660" spans="1:14" x14ac:dyDescent="0.25">
      <c r="A660" t="s">
        <v>1365</v>
      </c>
      <c r="B660" s="10">
        <v>46178</v>
      </c>
      <c r="C660" t="str">
        <f t="shared" si="11"/>
        <v>June</v>
      </c>
      <c r="D660" t="s">
        <v>26</v>
      </c>
      <c r="E660" t="s">
        <v>27</v>
      </c>
      <c r="F660" t="s">
        <v>28</v>
      </c>
      <c r="G660" t="s">
        <v>65</v>
      </c>
      <c r="H660" t="s">
        <v>66</v>
      </c>
      <c r="I660" s="2">
        <v>14</v>
      </c>
      <c r="J660" s="2">
        <v>2500000</v>
      </c>
      <c r="K660" s="2">
        <v>35000000</v>
      </c>
      <c r="L660" s="3">
        <v>0.05</v>
      </c>
      <c r="M660" t="s">
        <v>19</v>
      </c>
      <c r="N660" t="s">
        <v>1366</v>
      </c>
    </row>
    <row r="661" spans="1:14" x14ac:dyDescent="0.25">
      <c r="A661" t="s">
        <v>1367</v>
      </c>
      <c r="B661" s="10">
        <v>46127</v>
      </c>
      <c r="C661" t="str">
        <f t="shared" si="11"/>
        <v>April</v>
      </c>
      <c r="D661" t="s">
        <v>58</v>
      </c>
      <c r="E661" t="s">
        <v>59</v>
      </c>
      <c r="F661" t="s">
        <v>28</v>
      </c>
      <c r="G661" t="s">
        <v>29</v>
      </c>
      <c r="H661" t="s">
        <v>30</v>
      </c>
      <c r="I661" s="2">
        <v>1</v>
      </c>
      <c r="J661" s="2">
        <v>5500000</v>
      </c>
      <c r="K661" s="2">
        <v>5500000</v>
      </c>
      <c r="L661" s="3">
        <v>0.15</v>
      </c>
      <c r="M661" t="s">
        <v>19</v>
      </c>
      <c r="N661" t="s">
        <v>1368</v>
      </c>
    </row>
    <row r="662" spans="1:14" x14ac:dyDescent="0.25">
      <c r="A662" t="s">
        <v>1369</v>
      </c>
      <c r="B662" s="10">
        <v>46146</v>
      </c>
      <c r="C662" t="str">
        <f t="shared" si="11"/>
        <v>May</v>
      </c>
      <c r="D662" t="s">
        <v>46</v>
      </c>
      <c r="E662" t="s">
        <v>47</v>
      </c>
      <c r="F662" t="s">
        <v>48</v>
      </c>
      <c r="G662" t="s">
        <v>29</v>
      </c>
      <c r="H662" t="s">
        <v>30</v>
      </c>
      <c r="I662" s="2">
        <v>1</v>
      </c>
      <c r="J662" s="2">
        <v>750000</v>
      </c>
      <c r="K662" s="2">
        <v>750000</v>
      </c>
      <c r="L662" s="3">
        <v>0</v>
      </c>
      <c r="M662" t="s">
        <v>51</v>
      </c>
      <c r="N662" t="s">
        <v>1370</v>
      </c>
    </row>
    <row r="663" spans="1:14" x14ac:dyDescent="0.25">
      <c r="A663" t="s">
        <v>1371</v>
      </c>
      <c r="B663" s="10">
        <v>46051</v>
      </c>
      <c r="C663" t="str">
        <f t="shared" si="11"/>
        <v>January</v>
      </c>
      <c r="D663" t="s">
        <v>62</v>
      </c>
      <c r="E663" t="s">
        <v>63</v>
      </c>
      <c r="F663" t="s">
        <v>64</v>
      </c>
      <c r="G663" t="s">
        <v>29</v>
      </c>
      <c r="H663" t="s">
        <v>30</v>
      </c>
      <c r="I663" s="2">
        <v>2</v>
      </c>
      <c r="J663" s="2">
        <v>4000000</v>
      </c>
      <c r="K663" s="2">
        <v>8000000</v>
      </c>
      <c r="L663" s="3">
        <v>0</v>
      </c>
      <c r="M663" t="s">
        <v>51</v>
      </c>
      <c r="N663" t="s">
        <v>1372</v>
      </c>
    </row>
    <row r="664" spans="1:14" x14ac:dyDescent="0.25">
      <c r="A664" t="s">
        <v>1373</v>
      </c>
      <c r="B664" s="10">
        <v>46048</v>
      </c>
      <c r="C664" t="str">
        <f t="shared" si="11"/>
        <v>January</v>
      </c>
      <c r="D664" t="s">
        <v>58</v>
      </c>
      <c r="E664" t="s">
        <v>59</v>
      </c>
      <c r="F664" t="s">
        <v>28</v>
      </c>
      <c r="G664" t="s">
        <v>29</v>
      </c>
      <c r="H664" t="s">
        <v>30</v>
      </c>
      <c r="I664" s="2">
        <v>8</v>
      </c>
      <c r="J664" s="2">
        <v>5500000</v>
      </c>
      <c r="K664" s="2">
        <v>44000000</v>
      </c>
      <c r="L664" s="3">
        <v>0.1</v>
      </c>
      <c r="M664" t="s">
        <v>19</v>
      </c>
      <c r="N664" t="s">
        <v>1374</v>
      </c>
    </row>
    <row r="665" spans="1:14" x14ac:dyDescent="0.25">
      <c r="A665" t="s">
        <v>1375</v>
      </c>
      <c r="B665" s="10">
        <v>46035</v>
      </c>
      <c r="C665" t="str">
        <f t="shared" si="11"/>
        <v>January</v>
      </c>
      <c r="D665" t="s">
        <v>14</v>
      </c>
      <c r="E665" t="s">
        <v>15</v>
      </c>
      <c r="F665" t="s">
        <v>16</v>
      </c>
      <c r="G665" t="s">
        <v>29</v>
      </c>
      <c r="H665" t="s">
        <v>30</v>
      </c>
      <c r="I665" s="2">
        <v>14</v>
      </c>
      <c r="J665" s="2">
        <v>3500000</v>
      </c>
      <c r="K665" s="2">
        <v>49000000</v>
      </c>
      <c r="L665" s="3">
        <v>0</v>
      </c>
      <c r="M665" t="s">
        <v>19</v>
      </c>
      <c r="N665" t="s">
        <v>1376</v>
      </c>
    </row>
    <row r="666" spans="1:14" x14ac:dyDescent="0.25">
      <c r="A666" t="s">
        <v>1377</v>
      </c>
      <c r="B666" s="10">
        <v>46228</v>
      </c>
      <c r="C666" t="str">
        <f t="shared" si="11"/>
        <v>July</v>
      </c>
      <c r="D666" t="s">
        <v>46</v>
      </c>
      <c r="E666" t="s">
        <v>47</v>
      </c>
      <c r="F666" t="s">
        <v>48</v>
      </c>
      <c r="G666" t="s">
        <v>42</v>
      </c>
      <c r="H666" t="s">
        <v>43</v>
      </c>
      <c r="I666" s="2">
        <v>12</v>
      </c>
      <c r="J666" s="2">
        <v>750000</v>
      </c>
      <c r="K666" s="2">
        <v>9000000</v>
      </c>
      <c r="L666" s="3">
        <v>0</v>
      </c>
      <c r="M666" t="s">
        <v>19</v>
      </c>
      <c r="N666" t="s">
        <v>1378</v>
      </c>
    </row>
    <row r="667" spans="1:14" x14ac:dyDescent="0.25">
      <c r="A667" t="s">
        <v>1379</v>
      </c>
      <c r="B667" s="10">
        <v>46217</v>
      </c>
      <c r="C667" t="str">
        <f t="shared" si="11"/>
        <v>July</v>
      </c>
      <c r="D667" t="s">
        <v>92</v>
      </c>
      <c r="E667" t="s">
        <v>93</v>
      </c>
      <c r="F667" t="s">
        <v>16</v>
      </c>
      <c r="G667" t="s">
        <v>17</v>
      </c>
      <c r="H667" t="s">
        <v>18</v>
      </c>
      <c r="I667" s="2">
        <v>14</v>
      </c>
      <c r="J667" s="2">
        <v>1500000</v>
      </c>
      <c r="K667" s="2">
        <v>21000000</v>
      </c>
      <c r="L667" s="3">
        <v>0.05</v>
      </c>
      <c r="M667" t="s">
        <v>51</v>
      </c>
      <c r="N667" t="s">
        <v>1380</v>
      </c>
    </row>
    <row r="668" spans="1:14" x14ac:dyDescent="0.25">
      <c r="A668" t="s">
        <v>1381</v>
      </c>
      <c r="B668" s="10">
        <v>46066</v>
      </c>
      <c r="C668" t="str">
        <f t="shared" si="11"/>
        <v>February</v>
      </c>
      <c r="D668" t="s">
        <v>46</v>
      </c>
      <c r="E668" t="s">
        <v>47</v>
      </c>
      <c r="F668" t="s">
        <v>48</v>
      </c>
      <c r="G668" t="s">
        <v>65</v>
      </c>
      <c r="H668" t="s">
        <v>66</v>
      </c>
      <c r="I668" s="2">
        <v>15</v>
      </c>
      <c r="J668" s="2">
        <v>750000</v>
      </c>
      <c r="K668" s="2">
        <v>11250000</v>
      </c>
      <c r="L668" s="3">
        <v>0.15</v>
      </c>
      <c r="M668" t="s">
        <v>31</v>
      </c>
      <c r="N668" t="s">
        <v>1382</v>
      </c>
    </row>
    <row r="669" spans="1:14" x14ac:dyDescent="0.25">
      <c r="A669" t="s">
        <v>1383</v>
      </c>
      <c r="B669" s="10">
        <v>46210</v>
      </c>
      <c r="C669" t="str">
        <f t="shared" si="11"/>
        <v>July</v>
      </c>
      <c r="D669" t="s">
        <v>14</v>
      </c>
      <c r="E669" t="s">
        <v>15</v>
      </c>
      <c r="F669" t="s">
        <v>16</v>
      </c>
      <c r="G669" t="s">
        <v>65</v>
      </c>
      <c r="H669" t="s">
        <v>66</v>
      </c>
      <c r="I669" s="2">
        <v>14</v>
      </c>
      <c r="J669" s="2">
        <v>3500000</v>
      </c>
      <c r="K669" s="2">
        <v>49000000</v>
      </c>
      <c r="L669" s="3">
        <v>0.1</v>
      </c>
      <c r="M669" t="s">
        <v>19</v>
      </c>
      <c r="N669" t="s">
        <v>1384</v>
      </c>
    </row>
    <row r="670" spans="1:14" x14ac:dyDescent="0.25">
      <c r="A670" t="s">
        <v>1385</v>
      </c>
      <c r="B670" s="10">
        <v>46125</v>
      </c>
      <c r="C670" t="str">
        <f t="shared" si="11"/>
        <v>April</v>
      </c>
      <c r="D670" t="s">
        <v>34</v>
      </c>
      <c r="E670" t="s">
        <v>35</v>
      </c>
      <c r="F670" t="s">
        <v>36</v>
      </c>
      <c r="G670" t="s">
        <v>42</v>
      </c>
      <c r="H670" t="s">
        <v>43</v>
      </c>
      <c r="I670" s="2">
        <v>5</v>
      </c>
      <c r="J670" s="2">
        <v>2000000</v>
      </c>
      <c r="K670" s="2">
        <v>10000000</v>
      </c>
      <c r="L670" s="3">
        <v>0.15</v>
      </c>
      <c r="M670" t="s">
        <v>51</v>
      </c>
      <c r="N670" t="s">
        <v>1386</v>
      </c>
    </row>
    <row r="671" spans="1:14" x14ac:dyDescent="0.25">
      <c r="A671" t="s">
        <v>1387</v>
      </c>
      <c r="B671" s="10">
        <v>46145</v>
      </c>
      <c r="C671" t="str">
        <f t="shared" si="11"/>
        <v>May</v>
      </c>
      <c r="D671" t="s">
        <v>34</v>
      </c>
      <c r="E671" t="s">
        <v>35</v>
      </c>
      <c r="F671" t="s">
        <v>36</v>
      </c>
      <c r="G671" t="s">
        <v>29</v>
      </c>
      <c r="H671" t="s">
        <v>30</v>
      </c>
      <c r="I671" s="2">
        <v>2</v>
      </c>
      <c r="J671" s="2">
        <v>2000000</v>
      </c>
      <c r="K671" s="2">
        <v>4000000</v>
      </c>
      <c r="L671" s="3">
        <v>0.05</v>
      </c>
      <c r="M671" t="s">
        <v>51</v>
      </c>
      <c r="N671" t="s">
        <v>1388</v>
      </c>
    </row>
    <row r="672" spans="1:14" x14ac:dyDescent="0.25">
      <c r="A672" t="s">
        <v>1389</v>
      </c>
      <c r="B672" s="10">
        <v>46038</v>
      </c>
      <c r="C672" t="str">
        <f t="shared" si="11"/>
        <v>January</v>
      </c>
      <c r="D672" t="s">
        <v>39</v>
      </c>
      <c r="E672" t="s">
        <v>40</v>
      </c>
      <c r="F672" t="s">
        <v>41</v>
      </c>
      <c r="G672" t="s">
        <v>17</v>
      </c>
      <c r="H672" t="s">
        <v>18</v>
      </c>
      <c r="I672" s="2">
        <v>7</v>
      </c>
      <c r="J672" s="2">
        <v>12000000</v>
      </c>
      <c r="K672" s="2">
        <v>84000000</v>
      </c>
      <c r="L672" s="3">
        <v>0.15</v>
      </c>
      <c r="M672" t="s">
        <v>31</v>
      </c>
      <c r="N672" t="s">
        <v>1390</v>
      </c>
    </row>
    <row r="673" spans="1:14" x14ac:dyDescent="0.25">
      <c r="A673" t="s">
        <v>1391</v>
      </c>
      <c r="B673" s="10">
        <v>46135</v>
      </c>
      <c r="C673" t="str">
        <f t="shared" si="11"/>
        <v>April</v>
      </c>
      <c r="D673" t="s">
        <v>39</v>
      </c>
      <c r="E673" t="s">
        <v>40</v>
      </c>
      <c r="F673" t="s">
        <v>41</v>
      </c>
      <c r="G673" t="s">
        <v>22</v>
      </c>
      <c r="H673" t="s">
        <v>23</v>
      </c>
      <c r="I673" s="2">
        <v>7</v>
      </c>
      <c r="J673" s="2">
        <v>12000000</v>
      </c>
      <c r="K673" s="2">
        <v>84000000</v>
      </c>
      <c r="L673" s="3">
        <v>0.1</v>
      </c>
      <c r="M673" t="s">
        <v>31</v>
      </c>
      <c r="N673" t="s">
        <v>1392</v>
      </c>
    </row>
    <row r="674" spans="1:14" x14ac:dyDescent="0.25">
      <c r="A674" t="s">
        <v>1393</v>
      </c>
      <c r="B674" s="10">
        <v>46243</v>
      </c>
      <c r="C674" t="str">
        <f t="shared" si="11"/>
        <v>August</v>
      </c>
      <c r="D674" t="s">
        <v>39</v>
      </c>
      <c r="E674" t="s">
        <v>40</v>
      </c>
      <c r="F674" t="s">
        <v>41</v>
      </c>
      <c r="G674" t="s">
        <v>42</v>
      </c>
      <c r="H674" t="s">
        <v>43</v>
      </c>
      <c r="I674" s="2">
        <v>15</v>
      </c>
      <c r="J674" s="2">
        <v>12000000</v>
      </c>
      <c r="K674" s="2">
        <v>180000000</v>
      </c>
      <c r="L674" s="3">
        <v>0.15</v>
      </c>
      <c r="M674" t="s">
        <v>19</v>
      </c>
      <c r="N674" t="s">
        <v>1394</v>
      </c>
    </row>
    <row r="675" spans="1:14" x14ac:dyDescent="0.25">
      <c r="A675" t="s">
        <v>1395</v>
      </c>
      <c r="B675" s="10">
        <v>46135</v>
      </c>
      <c r="C675" t="str">
        <f t="shared" si="11"/>
        <v>April</v>
      </c>
      <c r="D675" t="s">
        <v>92</v>
      </c>
      <c r="E675" t="s">
        <v>93</v>
      </c>
      <c r="F675" t="s">
        <v>16</v>
      </c>
      <c r="G675" t="s">
        <v>17</v>
      </c>
      <c r="H675" t="s">
        <v>18</v>
      </c>
      <c r="I675" s="2">
        <v>5</v>
      </c>
      <c r="J675" s="2">
        <v>1500000</v>
      </c>
      <c r="K675" s="2">
        <v>7500000</v>
      </c>
      <c r="L675" s="3">
        <v>0.1</v>
      </c>
      <c r="M675" t="s">
        <v>19</v>
      </c>
      <c r="N675" t="s">
        <v>1396</v>
      </c>
    </row>
    <row r="676" spans="1:14" x14ac:dyDescent="0.25">
      <c r="A676" t="s">
        <v>1397</v>
      </c>
      <c r="B676" s="10">
        <v>46196</v>
      </c>
      <c r="C676" t="str">
        <f t="shared" si="11"/>
        <v>June</v>
      </c>
      <c r="D676" t="s">
        <v>26</v>
      </c>
      <c r="E676" t="s">
        <v>27</v>
      </c>
      <c r="F676" t="s">
        <v>28</v>
      </c>
      <c r="G676" t="s">
        <v>65</v>
      </c>
      <c r="H676" t="s">
        <v>66</v>
      </c>
      <c r="I676" s="2">
        <v>9</v>
      </c>
      <c r="J676" s="2">
        <v>2500000</v>
      </c>
      <c r="K676" s="2">
        <v>22500000</v>
      </c>
      <c r="L676" s="3">
        <v>0</v>
      </c>
      <c r="M676" t="s">
        <v>77</v>
      </c>
      <c r="N676" t="s">
        <v>1398</v>
      </c>
    </row>
    <row r="677" spans="1:14" x14ac:dyDescent="0.25">
      <c r="A677" t="s">
        <v>1399</v>
      </c>
      <c r="B677" s="10">
        <v>46209</v>
      </c>
      <c r="C677" t="str">
        <f t="shared" si="11"/>
        <v>July</v>
      </c>
      <c r="D677" t="s">
        <v>26</v>
      </c>
      <c r="E677" t="s">
        <v>27</v>
      </c>
      <c r="F677" t="s">
        <v>28</v>
      </c>
      <c r="G677" t="s">
        <v>42</v>
      </c>
      <c r="H677" t="s">
        <v>43</v>
      </c>
      <c r="I677" s="2">
        <v>6</v>
      </c>
      <c r="J677" s="2">
        <v>2500000</v>
      </c>
      <c r="K677" s="2">
        <v>15000000</v>
      </c>
      <c r="L677" s="3">
        <v>0.15</v>
      </c>
      <c r="M677" t="s">
        <v>19</v>
      </c>
      <c r="N677" t="s">
        <v>1400</v>
      </c>
    </row>
    <row r="678" spans="1:14" x14ac:dyDescent="0.25">
      <c r="A678" t="s">
        <v>1401</v>
      </c>
      <c r="B678" s="10">
        <v>46234</v>
      </c>
      <c r="C678" t="str">
        <f t="shared" si="11"/>
        <v>July</v>
      </c>
      <c r="D678" t="s">
        <v>92</v>
      </c>
      <c r="E678" t="s">
        <v>93</v>
      </c>
      <c r="F678" t="s">
        <v>16</v>
      </c>
      <c r="G678" t="s">
        <v>17</v>
      </c>
      <c r="H678" t="s">
        <v>18</v>
      </c>
      <c r="I678" s="2">
        <v>11</v>
      </c>
      <c r="J678" s="2">
        <v>1500000</v>
      </c>
      <c r="K678" s="2">
        <v>16500000</v>
      </c>
      <c r="L678" s="3">
        <v>0.05</v>
      </c>
      <c r="M678" t="s">
        <v>31</v>
      </c>
      <c r="N678" t="s">
        <v>1402</v>
      </c>
    </row>
    <row r="679" spans="1:14" x14ac:dyDescent="0.25">
      <c r="A679" t="s">
        <v>1403</v>
      </c>
      <c r="B679" s="10">
        <v>46143</v>
      </c>
      <c r="C679" t="str">
        <f t="shared" si="11"/>
        <v>May</v>
      </c>
      <c r="D679" t="s">
        <v>62</v>
      </c>
      <c r="E679" t="s">
        <v>63</v>
      </c>
      <c r="F679" t="s">
        <v>64</v>
      </c>
      <c r="G679" t="s">
        <v>29</v>
      </c>
      <c r="H679" t="s">
        <v>30</v>
      </c>
      <c r="I679" s="2">
        <v>2</v>
      </c>
      <c r="J679" s="2">
        <v>4000000</v>
      </c>
      <c r="K679" s="2">
        <v>8000000</v>
      </c>
      <c r="L679" s="3">
        <v>0.15</v>
      </c>
      <c r="M679" t="s">
        <v>19</v>
      </c>
      <c r="N679" t="s">
        <v>1404</v>
      </c>
    </row>
    <row r="680" spans="1:14" x14ac:dyDescent="0.25">
      <c r="A680" t="s">
        <v>1405</v>
      </c>
      <c r="B680" s="10">
        <v>46107</v>
      </c>
      <c r="C680" t="str">
        <f t="shared" si="11"/>
        <v>March</v>
      </c>
      <c r="D680" t="s">
        <v>58</v>
      </c>
      <c r="E680" t="s">
        <v>59</v>
      </c>
      <c r="F680" t="s">
        <v>28</v>
      </c>
      <c r="G680" t="s">
        <v>17</v>
      </c>
      <c r="H680" t="s">
        <v>18</v>
      </c>
      <c r="I680" s="2">
        <v>9</v>
      </c>
      <c r="J680" s="2">
        <v>5500000</v>
      </c>
      <c r="K680" s="2">
        <v>49500000</v>
      </c>
      <c r="L680" s="3">
        <v>0.05</v>
      </c>
      <c r="M680" t="s">
        <v>31</v>
      </c>
      <c r="N680" t="s">
        <v>1406</v>
      </c>
    </row>
    <row r="681" spans="1:14" x14ac:dyDescent="0.25">
      <c r="A681" t="s">
        <v>1407</v>
      </c>
      <c r="B681" s="10">
        <v>46119</v>
      </c>
      <c r="C681" t="str">
        <f t="shared" si="11"/>
        <v>April</v>
      </c>
      <c r="D681" t="s">
        <v>34</v>
      </c>
      <c r="E681" t="s">
        <v>35</v>
      </c>
      <c r="F681" t="s">
        <v>36</v>
      </c>
      <c r="G681" t="s">
        <v>29</v>
      </c>
      <c r="H681" t="s">
        <v>30</v>
      </c>
      <c r="I681" s="2">
        <v>2</v>
      </c>
      <c r="J681" s="2">
        <v>2000000</v>
      </c>
      <c r="K681" s="2">
        <v>4000000</v>
      </c>
      <c r="L681" s="3">
        <v>0.15</v>
      </c>
      <c r="M681" t="s">
        <v>77</v>
      </c>
      <c r="N681" t="s">
        <v>1408</v>
      </c>
    </row>
    <row r="682" spans="1:14" x14ac:dyDescent="0.25">
      <c r="A682" t="s">
        <v>1409</v>
      </c>
      <c r="B682" s="10">
        <v>46169</v>
      </c>
      <c r="C682" t="str">
        <f t="shared" si="11"/>
        <v>May</v>
      </c>
      <c r="D682" t="s">
        <v>62</v>
      </c>
      <c r="E682" t="s">
        <v>63</v>
      </c>
      <c r="F682" t="s">
        <v>64</v>
      </c>
      <c r="G682" t="s">
        <v>17</v>
      </c>
      <c r="H682" t="s">
        <v>18</v>
      </c>
      <c r="I682" s="2">
        <v>14</v>
      </c>
      <c r="J682" s="2">
        <v>4000000</v>
      </c>
      <c r="K682" s="2">
        <v>56000000</v>
      </c>
      <c r="L682" s="3">
        <v>0.15</v>
      </c>
      <c r="M682" t="s">
        <v>77</v>
      </c>
      <c r="N682" t="s">
        <v>1410</v>
      </c>
    </row>
    <row r="683" spans="1:14" x14ac:dyDescent="0.25">
      <c r="A683" t="s">
        <v>1411</v>
      </c>
      <c r="B683" s="10">
        <v>46053</v>
      </c>
      <c r="C683" t="str">
        <f t="shared" si="11"/>
        <v>January</v>
      </c>
      <c r="D683" t="s">
        <v>62</v>
      </c>
      <c r="E683" t="s">
        <v>63</v>
      </c>
      <c r="F683" t="s">
        <v>64</v>
      </c>
      <c r="G683" t="s">
        <v>17</v>
      </c>
      <c r="H683" t="s">
        <v>18</v>
      </c>
      <c r="I683" s="2">
        <v>2</v>
      </c>
      <c r="J683" s="2">
        <v>4000000</v>
      </c>
      <c r="K683" s="2">
        <v>8000000</v>
      </c>
      <c r="L683" s="3">
        <v>0.15</v>
      </c>
      <c r="M683" t="s">
        <v>77</v>
      </c>
      <c r="N683" t="s">
        <v>1412</v>
      </c>
    </row>
    <row r="684" spans="1:14" x14ac:dyDescent="0.25">
      <c r="A684" t="s">
        <v>1413</v>
      </c>
      <c r="B684" s="10">
        <v>46165</v>
      </c>
      <c r="C684" t="str">
        <f t="shared" si="11"/>
        <v>May</v>
      </c>
      <c r="D684" t="s">
        <v>92</v>
      </c>
      <c r="E684" t="s">
        <v>93</v>
      </c>
      <c r="F684" t="s">
        <v>16</v>
      </c>
      <c r="G684" t="s">
        <v>17</v>
      </c>
      <c r="H684" t="s">
        <v>18</v>
      </c>
      <c r="I684" s="2">
        <v>13</v>
      </c>
      <c r="J684" s="2">
        <v>1500000</v>
      </c>
      <c r="K684" s="2">
        <v>19500000</v>
      </c>
      <c r="L684" s="3">
        <v>0.1</v>
      </c>
      <c r="M684" t="s">
        <v>31</v>
      </c>
      <c r="N684" t="s">
        <v>1414</v>
      </c>
    </row>
    <row r="685" spans="1:14" x14ac:dyDescent="0.25">
      <c r="A685" t="s">
        <v>1415</v>
      </c>
      <c r="B685" s="10">
        <v>46075</v>
      </c>
      <c r="C685" t="str">
        <f t="shared" si="11"/>
        <v>February</v>
      </c>
      <c r="D685" t="s">
        <v>62</v>
      </c>
      <c r="E685" t="s">
        <v>63</v>
      </c>
      <c r="F685" t="s">
        <v>64</v>
      </c>
      <c r="G685" t="s">
        <v>65</v>
      </c>
      <c r="H685" t="s">
        <v>66</v>
      </c>
      <c r="I685" s="2">
        <v>6</v>
      </c>
      <c r="J685" s="2">
        <v>4000000</v>
      </c>
      <c r="K685" s="2">
        <v>24000000</v>
      </c>
      <c r="L685" s="3">
        <v>0</v>
      </c>
      <c r="M685" t="s">
        <v>19</v>
      </c>
      <c r="N685" t="s">
        <v>1416</v>
      </c>
    </row>
    <row r="686" spans="1:14" x14ac:dyDescent="0.25">
      <c r="A686" t="s">
        <v>1417</v>
      </c>
      <c r="B686" s="10">
        <v>46139</v>
      </c>
      <c r="C686" t="str">
        <f t="shared" si="11"/>
        <v>April</v>
      </c>
      <c r="D686" t="s">
        <v>46</v>
      </c>
      <c r="E686" t="s">
        <v>47</v>
      </c>
      <c r="F686" t="s">
        <v>48</v>
      </c>
      <c r="G686" t="s">
        <v>22</v>
      </c>
      <c r="H686" t="s">
        <v>23</v>
      </c>
      <c r="I686" s="2">
        <v>13</v>
      </c>
      <c r="J686" s="2">
        <v>750000</v>
      </c>
      <c r="K686" s="2">
        <v>9750000</v>
      </c>
      <c r="L686" s="3">
        <v>0.15</v>
      </c>
      <c r="M686" t="s">
        <v>51</v>
      </c>
      <c r="N686" t="s">
        <v>1418</v>
      </c>
    </row>
    <row r="687" spans="1:14" x14ac:dyDescent="0.25">
      <c r="A687" t="s">
        <v>1419</v>
      </c>
      <c r="B687" s="10">
        <v>46116</v>
      </c>
      <c r="C687" t="str">
        <f t="shared" si="11"/>
        <v>April</v>
      </c>
      <c r="D687" t="s">
        <v>62</v>
      </c>
      <c r="E687" t="s">
        <v>63</v>
      </c>
      <c r="F687" t="s">
        <v>64</v>
      </c>
      <c r="G687" t="s">
        <v>17</v>
      </c>
      <c r="H687" t="s">
        <v>18</v>
      </c>
      <c r="I687" s="2">
        <v>2</v>
      </c>
      <c r="J687" s="2">
        <v>4000000</v>
      </c>
      <c r="K687" s="2">
        <v>8000000</v>
      </c>
      <c r="L687" s="3">
        <v>0.05</v>
      </c>
      <c r="M687" t="s">
        <v>19</v>
      </c>
      <c r="N687" t="s">
        <v>1420</v>
      </c>
    </row>
    <row r="688" spans="1:14" x14ac:dyDescent="0.25">
      <c r="A688" t="s">
        <v>1421</v>
      </c>
      <c r="B688" s="10">
        <v>46113</v>
      </c>
      <c r="C688" t="str">
        <f t="shared" si="11"/>
        <v>April</v>
      </c>
      <c r="D688" t="s">
        <v>58</v>
      </c>
      <c r="E688" t="s">
        <v>59</v>
      </c>
      <c r="F688" t="s">
        <v>28</v>
      </c>
      <c r="G688" t="s">
        <v>22</v>
      </c>
      <c r="H688" t="s">
        <v>23</v>
      </c>
      <c r="I688" s="2">
        <v>9</v>
      </c>
      <c r="J688" s="2">
        <v>5500000</v>
      </c>
      <c r="K688" s="2">
        <v>49500000</v>
      </c>
      <c r="L688" s="3">
        <v>0.1</v>
      </c>
      <c r="M688" t="s">
        <v>51</v>
      </c>
      <c r="N688" t="s">
        <v>1422</v>
      </c>
    </row>
    <row r="689" spans="1:14" x14ac:dyDescent="0.25">
      <c r="A689" t="s">
        <v>1423</v>
      </c>
      <c r="B689" s="10">
        <v>46034</v>
      </c>
      <c r="C689" t="str">
        <f t="shared" si="11"/>
        <v>January</v>
      </c>
      <c r="D689" t="s">
        <v>39</v>
      </c>
      <c r="E689" t="s">
        <v>40</v>
      </c>
      <c r="F689" t="s">
        <v>41</v>
      </c>
      <c r="G689" t="s">
        <v>42</v>
      </c>
      <c r="H689" t="s">
        <v>43</v>
      </c>
      <c r="I689" s="2">
        <v>3</v>
      </c>
      <c r="J689" s="2">
        <v>12000000</v>
      </c>
      <c r="K689" s="2">
        <v>36000000</v>
      </c>
      <c r="L689" s="3">
        <v>0.15</v>
      </c>
      <c r="M689" t="s">
        <v>19</v>
      </c>
      <c r="N689" t="s">
        <v>1424</v>
      </c>
    </row>
    <row r="690" spans="1:14" x14ac:dyDescent="0.25">
      <c r="A690" t="s">
        <v>1425</v>
      </c>
      <c r="B690" s="10">
        <v>46179</v>
      </c>
      <c r="C690" t="str">
        <f t="shared" si="11"/>
        <v>June</v>
      </c>
      <c r="D690" t="s">
        <v>26</v>
      </c>
      <c r="E690" t="s">
        <v>27</v>
      </c>
      <c r="F690" t="s">
        <v>28</v>
      </c>
      <c r="G690" t="s">
        <v>29</v>
      </c>
      <c r="H690" t="s">
        <v>30</v>
      </c>
      <c r="I690" s="2">
        <v>2</v>
      </c>
      <c r="J690" s="2">
        <v>2500000</v>
      </c>
      <c r="K690" s="2">
        <v>5000000</v>
      </c>
      <c r="L690" s="3">
        <v>0.15</v>
      </c>
      <c r="M690" t="s">
        <v>19</v>
      </c>
      <c r="N690" t="s">
        <v>1426</v>
      </c>
    </row>
    <row r="691" spans="1:14" x14ac:dyDescent="0.25">
      <c r="A691" t="s">
        <v>1427</v>
      </c>
      <c r="B691" s="10">
        <v>46234</v>
      </c>
      <c r="C691" t="str">
        <f t="shared" si="11"/>
        <v>July</v>
      </c>
      <c r="D691" t="s">
        <v>26</v>
      </c>
      <c r="E691" t="s">
        <v>27</v>
      </c>
      <c r="F691" t="s">
        <v>28</v>
      </c>
      <c r="G691" t="s">
        <v>65</v>
      </c>
      <c r="H691" t="s">
        <v>66</v>
      </c>
      <c r="I691" s="2">
        <v>2</v>
      </c>
      <c r="J691" s="2">
        <v>2500000</v>
      </c>
      <c r="K691" s="2">
        <v>5000000</v>
      </c>
      <c r="L691" s="3">
        <v>0.15</v>
      </c>
      <c r="M691" t="s">
        <v>19</v>
      </c>
      <c r="N691" t="s">
        <v>1428</v>
      </c>
    </row>
    <row r="692" spans="1:14" x14ac:dyDescent="0.25">
      <c r="A692" t="s">
        <v>1429</v>
      </c>
      <c r="B692" s="10">
        <v>46237</v>
      </c>
      <c r="C692" t="str">
        <f t="shared" si="11"/>
        <v>August</v>
      </c>
      <c r="D692" t="s">
        <v>14</v>
      </c>
      <c r="E692" t="s">
        <v>15</v>
      </c>
      <c r="F692" t="s">
        <v>16</v>
      </c>
      <c r="G692" t="s">
        <v>42</v>
      </c>
      <c r="H692" t="s">
        <v>43</v>
      </c>
      <c r="I692" s="2">
        <v>8</v>
      </c>
      <c r="J692" s="2">
        <v>3500000</v>
      </c>
      <c r="K692" s="2">
        <v>28000000</v>
      </c>
      <c r="L692" s="3">
        <v>0.05</v>
      </c>
      <c r="M692" t="s">
        <v>77</v>
      </c>
      <c r="N692" t="s">
        <v>1430</v>
      </c>
    </row>
    <row r="693" spans="1:14" x14ac:dyDescent="0.25">
      <c r="A693" t="s">
        <v>1431</v>
      </c>
      <c r="B693" s="10">
        <v>46158</v>
      </c>
      <c r="C693" t="str">
        <f t="shared" si="11"/>
        <v>May</v>
      </c>
      <c r="D693" t="s">
        <v>92</v>
      </c>
      <c r="E693" t="s">
        <v>93</v>
      </c>
      <c r="F693" t="s">
        <v>16</v>
      </c>
      <c r="G693" t="s">
        <v>22</v>
      </c>
      <c r="H693" t="s">
        <v>23</v>
      </c>
      <c r="I693" s="2">
        <v>15</v>
      </c>
      <c r="J693" s="2">
        <v>1500000</v>
      </c>
      <c r="K693" s="2">
        <v>22500000</v>
      </c>
      <c r="L693" s="3">
        <v>0.15</v>
      </c>
      <c r="M693" t="s">
        <v>31</v>
      </c>
      <c r="N693" t="s">
        <v>1432</v>
      </c>
    </row>
    <row r="694" spans="1:14" x14ac:dyDescent="0.25">
      <c r="A694" t="s">
        <v>1433</v>
      </c>
      <c r="B694" s="10">
        <v>46153</v>
      </c>
      <c r="C694" t="str">
        <f t="shared" si="11"/>
        <v>May</v>
      </c>
      <c r="D694" t="s">
        <v>39</v>
      </c>
      <c r="E694" t="s">
        <v>40</v>
      </c>
      <c r="F694" t="s">
        <v>41</v>
      </c>
      <c r="G694" t="s">
        <v>22</v>
      </c>
      <c r="H694" t="s">
        <v>23</v>
      </c>
      <c r="I694" s="2">
        <v>3</v>
      </c>
      <c r="J694" s="2">
        <v>12000000</v>
      </c>
      <c r="K694" s="2">
        <v>36000000</v>
      </c>
      <c r="L694" s="3">
        <v>0.05</v>
      </c>
      <c r="M694" t="s">
        <v>19</v>
      </c>
      <c r="N694" t="s">
        <v>1434</v>
      </c>
    </row>
    <row r="695" spans="1:14" x14ac:dyDescent="0.25">
      <c r="A695" t="s">
        <v>1435</v>
      </c>
      <c r="B695" s="10">
        <v>46191</v>
      </c>
      <c r="C695" t="str">
        <f t="shared" si="11"/>
        <v>June</v>
      </c>
      <c r="D695" t="s">
        <v>46</v>
      </c>
      <c r="E695" t="s">
        <v>47</v>
      </c>
      <c r="F695" t="s">
        <v>48</v>
      </c>
      <c r="G695" t="s">
        <v>22</v>
      </c>
      <c r="H695" t="s">
        <v>23</v>
      </c>
      <c r="I695" s="2">
        <v>15</v>
      </c>
      <c r="J695" s="2">
        <v>750000</v>
      </c>
      <c r="K695" s="2">
        <v>11250000</v>
      </c>
      <c r="L695" s="3">
        <v>0.15</v>
      </c>
      <c r="M695" t="s">
        <v>77</v>
      </c>
      <c r="N695" t="s">
        <v>1436</v>
      </c>
    </row>
    <row r="696" spans="1:14" x14ac:dyDescent="0.25">
      <c r="A696" t="s">
        <v>1437</v>
      </c>
      <c r="B696" s="10">
        <v>46200</v>
      </c>
      <c r="C696" t="str">
        <f t="shared" si="11"/>
        <v>June</v>
      </c>
      <c r="D696" t="s">
        <v>26</v>
      </c>
      <c r="E696" t="s">
        <v>27</v>
      </c>
      <c r="F696" t="s">
        <v>28</v>
      </c>
      <c r="G696" t="s">
        <v>65</v>
      </c>
      <c r="H696" t="s">
        <v>66</v>
      </c>
      <c r="I696" s="2">
        <v>7</v>
      </c>
      <c r="J696" s="2">
        <v>2500000</v>
      </c>
      <c r="K696" s="2">
        <v>17500000</v>
      </c>
      <c r="L696" s="3">
        <v>0.1</v>
      </c>
      <c r="M696" t="s">
        <v>19</v>
      </c>
      <c r="N696" t="s">
        <v>1438</v>
      </c>
    </row>
    <row r="697" spans="1:14" x14ac:dyDescent="0.25">
      <c r="A697" t="s">
        <v>1439</v>
      </c>
      <c r="B697" s="10">
        <v>46229</v>
      </c>
      <c r="C697" t="str">
        <f t="shared" si="11"/>
        <v>July</v>
      </c>
      <c r="D697" t="s">
        <v>39</v>
      </c>
      <c r="E697" t="s">
        <v>40</v>
      </c>
      <c r="F697" t="s">
        <v>41</v>
      </c>
      <c r="G697" t="s">
        <v>29</v>
      </c>
      <c r="H697" t="s">
        <v>30</v>
      </c>
      <c r="I697" s="2">
        <v>7</v>
      </c>
      <c r="J697" s="2">
        <v>12000000</v>
      </c>
      <c r="K697" s="2">
        <v>84000000</v>
      </c>
      <c r="L697" s="3">
        <v>0.1</v>
      </c>
      <c r="M697" t="s">
        <v>51</v>
      </c>
      <c r="N697" t="s">
        <v>1440</v>
      </c>
    </row>
    <row r="698" spans="1:14" x14ac:dyDescent="0.25">
      <c r="A698" t="s">
        <v>1441</v>
      </c>
      <c r="B698" s="10">
        <v>46243</v>
      </c>
      <c r="C698" t="str">
        <f t="shared" si="11"/>
        <v>August</v>
      </c>
      <c r="D698" t="s">
        <v>46</v>
      </c>
      <c r="E698" t="s">
        <v>47</v>
      </c>
      <c r="F698" t="s">
        <v>48</v>
      </c>
      <c r="G698" t="s">
        <v>22</v>
      </c>
      <c r="H698" t="s">
        <v>23</v>
      </c>
      <c r="I698" s="2">
        <v>11</v>
      </c>
      <c r="J698" s="2">
        <v>750000</v>
      </c>
      <c r="K698" s="2">
        <v>8250000</v>
      </c>
      <c r="L698" s="3">
        <v>0.05</v>
      </c>
      <c r="M698" t="s">
        <v>19</v>
      </c>
      <c r="N698" t="s">
        <v>1442</v>
      </c>
    </row>
    <row r="699" spans="1:14" x14ac:dyDescent="0.25">
      <c r="A699" t="s">
        <v>1443</v>
      </c>
      <c r="B699" s="10">
        <v>46182</v>
      </c>
      <c r="C699" t="str">
        <f t="shared" si="11"/>
        <v>June</v>
      </c>
      <c r="D699" t="s">
        <v>58</v>
      </c>
      <c r="E699" t="s">
        <v>59</v>
      </c>
      <c r="F699" t="s">
        <v>28</v>
      </c>
      <c r="G699" t="s">
        <v>65</v>
      </c>
      <c r="H699" t="s">
        <v>66</v>
      </c>
      <c r="I699" s="2">
        <v>15</v>
      </c>
      <c r="J699" s="2">
        <v>5500000</v>
      </c>
      <c r="K699" s="2">
        <v>82500000</v>
      </c>
      <c r="L699" s="3">
        <v>0.05</v>
      </c>
      <c r="M699" t="s">
        <v>51</v>
      </c>
      <c r="N699" t="s">
        <v>1444</v>
      </c>
    </row>
    <row r="700" spans="1:14" x14ac:dyDescent="0.25">
      <c r="A700" t="s">
        <v>1445</v>
      </c>
      <c r="B700" s="10">
        <v>46068</v>
      </c>
      <c r="C700" t="str">
        <f t="shared" si="11"/>
        <v>February</v>
      </c>
      <c r="D700" t="s">
        <v>46</v>
      </c>
      <c r="E700" t="s">
        <v>47</v>
      </c>
      <c r="F700" t="s">
        <v>48</v>
      </c>
      <c r="G700" t="s">
        <v>17</v>
      </c>
      <c r="H700" t="s">
        <v>18</v>
      </c>
      <c r="I700" s="2">
        <v>13</v>
      </c>
      <c r="J700" s="2">
        <v>750000</v>
      </c>
      <c r="K700" s="2">
        <v>9750000</v>
      </c>
      <c r="L700" s="3">
        <v>0.1</v>
      </c>
      <c r="M700" t="s">
        <v>31</v>
      </c>
      <c r="N700" t="s">
        <v>1446</v>
      </c>
    </row>
    <row r="701" spans="1:14" x14ac:dyDescent="0.25">
      <c r="A701" t="s">
        <v>1447</v>
      </c>
      <c r="B701" s="10">
        <v>46172</v>
      </c>
      <c r="C701" t="str">
        <f t="shared" si="11"/>
        <v>May</v>
      </c>
      <c r="D701" t="s">
        <v>34</v>
      </c>
      <c r="E701" t="s">
        <v>35</v>
      </c>
      <c r="F701" t="s">
        <v>36</v>
      </c>
      <c r="G701" t="s">
        <v>22</v>
      </c>
      <c r="H701" t="s">
        <v>23</v>
      </c>
      <c r="I701" s="2">
        <v>5</v>
      </c>
      <c r="J701" s="2">
        <v>2000000</v>
      </c>
      <c r="K701" s="2">
        <v>10000000</v>
      </c>
      <c r="L701" s="3">
        <v>0.15</v>
      </c>
      <c r="M701" t="s">
        <v>19</v>
      </c>
      <c r="N701" t="s">
        <v>1448</v>
      </c>
    </row>
    <row r="702" spans="1:14" x14ac:dyDescent="0.25">
      <c r="A702" t="s">
        <v>1449</v>
      </c>
      <c r="B702" s="10">
        <v>46050</v>
      </c>
      <c r="C702" t="str">
        <f t="shared" si="11"/>
        <v>January</v>
      </c>
      <c r="D702" t="s">
        <v>92</v>
      </c>
      <c r="E702" t="s">
        <v>93</v>
      </c>
      <c r="F702" t="s">
        <v>16</v>
      </c>
      <c r="G702" t="s">
        <v>42</v>
      </c>
      <c r="H702" t="s">
        <v>43</v>
      </c>
      <c r="I702" s="2">
        <v>3</v>
      </c>
      <c r="J702" s="2">
        <v>1500000</v>
      </c>
      <c r="K702" s="2">
        <v>4500000</v>
      </c>
      <c r="L702" s="3">
        <v>0</v>
      </c>
      <c r="M702" t="s">
        <v>51</v>
      </c>
      <c r="N702" t="s">
        <v>1450</v>
      </c>
    </row>
    <row r="703" spans="1:14" x14ac:dyDescent="0.25">
      <c r="A703" t="s">
        <v>1451</v>
      </c>
      <c r="B703" s="10">
        <v>46074</v>
      </c>
      <c r="C703" t="str">
        <f t="shared" si="11"/>
        <v>February</v>
      </c>
      <c r="D703" t="s">
        <v>58</v>
      </c>
      <c r="E703" t="s">
        <v>59</v>
      </c>
      <c r="F703" t="s">
        <v>28</v>
      </c>
      <c r="G703" t="s">
        <v>29</v>
      </c>
      <c r="H703" t="s">
        <v>30</v>
      </c>
      <c r="I703" s="2">
        <v>5</v>
      </c>
      <c r="J703" s="2">
        <v>5500000</v>
      </c>
      <c r="K703" s="2">
        <v>27500000</v>
      </c>
      <c r="L703" s="3">
        <v>0.1</v>
      </c>
      <c r="M703" t="s">
        <v>19</v>
      </c>
      <c r="N703" t="s">
        <v>1452</v>
      </c>
    </row>
    <row r="704" spans="1:14" x14ac:dyDescent="0.25">
      <c r="A704" t="s">
        <v>1453</v>
      </c>
      <c r="B704" s="10">
        <v>46038</v>
      </c>
      <c r="C704" t="str">
        <f t="shared" si="11"/>
        <v>January</v>
      </c>
      <c r="D704" t="s">
        <v>58</v>
      </c>
      <c r="E704" t="s">
        <v>59</v>
      </c>
      <c r="F704" t="s">
        <v>28</v>
      </c>
      <c r="G704" t="s">
        <v>29</v>
      </c>
      <c r="H704" t="s">
        <v>30</v>
      </c>
      <c r="I704" s="2">
        <v>13</v>
      </c>
      <c r="J704" s="2">
        <v>5500000</v>
      </c>
      <c r="K704" s="2">
        <v>71500000</v>
      </c>
      <c r="L704" s="3">
        <v>0</v>
      </c>
      <c r="M704" t="s">
        <v>19</v>
      </c>
      <c r="N704" t="s">
        <v>1454</v>
      </c>
    </row>
    <row r="705" spans="1:14" x14ac:dyDescent="0.25">
      <c r="A705" t="s">
        <v>1455</v>
      </c>
      <c r="B705" s="10">
        <v>46138</v>
      </c>
      <c r="C705" t="str">
        <f t="shared" si="11"/>
        <v>April</v>
      </c>
      <c r="D705" t="s">
        <v>14</v>
      </c>
      <c r="E705" t="s">
        <v>15</v>
      </c>
      <c r="F705" t="s">
        <v>16</v>
      </c>
      <c r="G705" t="s">
        <v>22</v>
      </c>
      <c r="H705" t="s">
        <v>23</v>
      </c>
      <c r="I705" s="2">
        <v>14</v>
      </c>
      <c r="J705" s="2">
        <v>3500000</v>
      </c>
      <c r="K705" s="2">
        <v>49000000</v>
      </c>
      <c r="L705" s="3">
        <v>0.05</v>
      </c>
      <c r="M705" t="s">
        <v>51</v>
      </c>
      <c r="N705" t="s">
        <v>1456</v>
      </c>
    </row>
    <row r="706" spans="1:14" x14ac:dyDescent="0.25">
      <c r="A706" t="s">
        <v>1457</v>
      </c>
      <c r="B706" s="10">
        <v>46166</v>
      </c>
      <c r="C706" t="str">
        <f t="shared" si="11"/>
        <v>May</v>
      </c>
      <c r="D706" t="s">
        <v>34</v>
      </c>
      <c r="E706" t="s">
        <v>35</v>
      </c>
      <c r="F706" t="s">
        <v>36</v>
      </c>
      <c r="G706" t="s">
        <v>29</v>
      </c>
      <c r="H706" t="s">
        <v>30</v>
      </c>
      <c r="I706" s="2">
        <v>9</v>
      </c>
      <c r="J706" s="2">
        <v>2000000</v>
      </c>
      <c r="K706" s="2">
        <v>18000000</v>
      </c>
      <c r="L706" s="3">
        <v>0.1</v>
      </c>
      <c r="M706" t="s">
        <v>51</v>
      </c>
      <c r="N706" t="s">
        <v>1458</v>
      </c>
    </row>
    <row r="707" spans="1:14" x14ac:dyDescent="0.25">
      <c r="A707" t="s">
        <v>1459</v>
      </c>
      <c r="B707" s="10">
        <v>46035</v>
      </c>
      <c r="C707" t="str">
        <f t="shared" ref="C707:C770" si="12">TEXT(B707, "MMMM")</f>
        <v>January</v>
      </c>
      <c r="D707" t="s">
        <v>34</v>
      </c>
      <c r="E707" t="s">
        <v>35</v>
      </c>
      <c r="F707" t="s">
        <v>36</v>
      </c>
      <c r="G707" t="s">
        <v>42</v>
      </c>
      <c r="H707" t="s">
        <v>43</v>
      </c>
      <c r="I707" s="2">
        <v>7</v>
      </c>
      <c r="J707" s="2">
        <v>2000000</v>
      </c>
      <c r="K707" s="2">
        <v>14000000</v>
      </c>
      <c r="L707" s="3">
        <v>0.1</v>
      </c>
      <c r="M707" t="s">
        <v>31</v>
      </c>
      <c r="N707" t="s">
        <v>1460</v>
      </c>
    </row>
    <row r="708" spans="1:14" x14ac:dyDescent="0.25">
      <c r="A708" t="s">
        <v>1461</v>
      </c>
      <c r="B708" s="10">
        <v>46026</v>
      </c>
      <c r="C708" t="str">
        <f t="shared" si="12"/>
        <v>January</v>
      </c>
      <c r="D708" t="s">
        <v>58</v>
      </c>
      <c r="E708" t="s">
        <v>59</v>
      </c>
      <c r="F708" t="s">
        <v>28</v>
      </c>
      <c r="G708" t="s">
        <v>29</v>
      </c>
      <c r="H708" t="s">
        <v>30</v>
      </c>
      <c r="I708" s="2">
        <v>10</v>
      </c>
      <c r="J708" s="2">
        <v>5500000</v>
      </c>
      <c r="K708" s="2">
        <v>55000000</v>
      </c>
      <c r="L708" s="3">
        <v>0.15</v>
      </c>
      <c r="M708" t="s">
        <v>19</v>
      </c>
      <c r="N708" t="s">
        <v>1462</v>
      </c>
    </row>
    <row r="709" spans="1:14" x14ac:dyDescent="0.25">
      <c r="A709" t="s">
        <v>1463</v>
      </c>
      <c r="B709" s="10">
        <v>46203</v>
      </c>
      <c r="C709" t="str">
        <f t="shared" si="12"/>
        <v>June</v>
      </c>
      <c r="D709" t="s">
        <v>46</v>
      </c>
      <c r="E709" t="s">
        <v>47</v>
      </c>
      <c r="F709" t="s">
        <v>48</v>
      </c>
      <c r="G709" t="s">
        <v>22</v>
      </c>
      <c r="H709" t="s">
        <v>23</v>
      </c>
      <c r="I709" s="2">
        <v>9</v>
      </c>
      <c r="J709" s="2">
        <v>750000</v>
      </c>
      <c r="K709" s="2">
        <v>6750000</v>
      </c>
      <c r="L709" s="3">
        <v>0.05</v>
      </c>
      <c r="M709" t="s">
        <v>51</v>
      </c>
      <c r="N709" t="s">
        <v>1464</v>
      </c>
    </row>
    <row r="710" spans="1:14" x14ac:dyDescent="0.25">
      <c r="A710" t="s">
        <v>1465</v>
      </c>
      <c r="B710" s="10">
        <v>46098</v>
      </c>
      <c r="C710" t="str">
        <f t="shared" si="12"/>
        <v>March</v>
      </c>
      <c r="D710" t="s">
        <v>62</v>
      </c>
      <c r="E710" t="s">
        <v>63</v>
      </c>
      <c r="F710" t="s">
        <v>64</v>
      </c>
      <c r="G710" t="s">
        <v>29</v>
      </c>
      <c r="H710" t="s">
        <v>30</v>
      </c>
      <c r="I710" s="2">
        <v>11</v>
      </c>
      <c r="J710" s="2">
        <v>4000000</v>
      </c>
      <c r="K710" s="2">
        <v>44000000</v>
      </c>
      <c r="L710" s="3">
        <v>0</v>
      </c>
      <c r="M710" t="s">
        <v>19</v>
      </c>
      <c r="N710" t="s">
        <v>1466</v>
      </c>
    </row>
    <row r="711" spans="1:14" x14ac:dyDescent="0.25">
      <c r="A711" t="s">
        <v>1467</v>
      </c>
      <c r="B711" s="10">
        <v>46211</v>
      </c>
      <c r="C711" t="str">
        <f t="shared" si="12"/>
        <v>July</v>
      </c>
      <c r="D711" t="s">
        <v>14</v>
      </c>
      <c r="E711" t="s">
        <v>15</v>
      </c>
      <c r="F711" t="s">
        <v>16</v>
      </c>
      <c r="G711" t="s">
        <v>42</v>
      </c>
      <c r="H711" t="s">
        <v>43</v>
      </c>
      <c r="I711" s="2">
        <v>1</v>
      </c>
      <c r="J711" s="2">
        <v>3500000</v>
      </c>
      <c r="K711" s="2">
        <v>3500000</v>
      </c>
      <c r="L711" s="3">
        <v>0.15</v>
      </c>
      <c r="M711" t="s">
        <v>19</v>
      </c>
      <c r="N711" t="s">
        <v>1468</v>
      </c>
    </row>
    <row r="712" spans="1:14" x14ac:dyDescent="0.25">
      <c r="A712" t="s">
        <v>1469</v>
      </c>
      <c r="B712" s="10">
        <v>46090</v>
      </c>
      <c r="C712" t="str">
        <f t="shared" si="12"/>
        <v>March</v>
      </c>
      <c r="D712" t="s">
        <v>39</v>
      </c>
      <c r="E712" t="s">
        <v>40</v>
      </c>
      <c r="F712" t="s">
        <v>41</v>
      </c>
      <c r="G712" t="s">
        <v>29</v>
      </c>
      <c r="H712" t="s">
        <v>30</v>
      </c>
      <c r="I712" s="2">
        <v>10</v>
      </c>
      <c r="J712" s="2">
        <v>12000000</v>
      </c>
      <c r="K712" s="2">
        <v>120000000</v>
      </c>
      <c r="L712" s="3">
        <v>0.1</v>
      </c>
      <c r="M712" t="s">
        <v>19</v>
      </c>
      <c r="N712" t="s">
        <v>1470</v>
      </c>
    </row>
    <row r="713" spans="1:14" x14ac:dyDescent="0.25">
      <c r="A713" t="s">
        <v>1471</v>
      </c>
      <c r="B713" s="10">
        <v>46142</v>
      </c>
      <c r="C713" t="str">
        <f t="shared" si="12"/>
        <v>April</v>
      </c>
      <c r="D713" t="s">
        <v>39</v>
      </c>
      <c r="E713" t="s">
        <v>40</v>
      </c>
      <c r="F713" t="s">
        <v>41</v>
      </c>
      <c r="G713" t="s">
        <v>17</v>
      </c>
      <c r="H713" t="s">
        <v>18</v>
      </c>
      <c r="I713" s="2">
        <v>3</v>
      </c>
      <c r="J713" s="2">
        <v>12000000</v>
      </c>
      <c r="K713" s="2">
        <v>36000000</v>
      </c>
      <c r="L713" s="3">
        <v>0.1</v>
      </c>
      <c r="M713" t="s">
        <v>31</v>
      </c>
      <c r="N713" t="s">
        <v>1472</v>
      </c>
    </row>
    <row r="714" spans="1:14" x14ac:dyDescent="0.25">
      <c r="A714" t="s">
        <v>1473</v>
      </c>
      <c r="B714" s="10">
        <v>46221</v>
      </c>
      <c r="C714" t="str">
        <f t="shared" si="12"/>
        <v>July</v>
      </c>
      <c r="D714" t="s">
        <v>58</v>
      </c>
      <c r="E714" t="s">
        <v>59</v>
      </c>
      <c r="F714" t="s">
        <v>28</v>
      </c>
      <c r="G714" t="s">
        <v>42</v>
      </c>
      <c r="H714" t="s">
        <v>43</v>
      </c>
      <c r="I714" s="2">
        <v>13</v>
      </c>
      <c r="J714" s="2">
        <v>5500000</v>
      </c>
      <c r="K714" s="2">
        <v>71500000</v>
      </c>
      <c r="L714" s="3">
        <v>0.1</v>
      </c>
      <c r="M714" t="s">
        <v>19</v>
      </c>
      <c r="N714" t="s">
        <v>1474</v>
      </c>
    </row>
    <row r="715" spans="1:14" x14ac:dyDescent="0.25">
      <c r="A715" t="s">
        <v>1475</v>
      </c>
      <c r="B715" s="10">
        <v>46204</v>
      </c>
      <c r="C715" t="str">
        <f t="shared" si="12"/>
        <v>July</v>
      </c>
      <c r="D715" t="s">
        <v>46</v>
      </c>
      <c r="E715" t="s">
        <v>47</v>
      </c>
      <c r="F715" t="s">
        <v>48</v>
      </c>
      <c r="G715" t="s">
        <v>22</v>
      </c>
      <c r="H715" t="s">
        <v>23</v>
      </c>
      <c r="I715" s="2">
        <v>4</v>
      </c>
      <c r="J715" s="2">
        <v>750000</v>
      </c>
      <c r="K715" s="2">
        <v>3000000</v>
      </c>
      <c r="L715" s="3">
        <v>0.05</v>
      </c>
      <c r="M715" t="s">
        <v>31</v>
      </c>
      <c r="N715" t="s">
        <v>1476</v>
      </c>
    </row>
    <row r="716" spans="1:14" x14ac:dyDescent="0.25">
      <c r="A716" t="s">
        <v>1477</v>
      </c>
      <c r="B716" s="10">
        <v>46224</v>
      </c>
      <c r="C716" t="str">
        <f t="shared" si="12"/>
        <v>July</v>
      </c>
      <c r="D716" t="s">
        <v>39</v>
      </c>
      <c r="E716" t="s">
        <v>40</v>
      </c>
      <c r="F716" t="s">
        <v>41</v>
      </c>
      <c r="G716" t="s">
        <v>42</v>
      </c>
      <c r="H716" t="s">
        <v>43</v>
      </c>
      <c r="I716" s="2">
        <v>9</v>
      </c>
      <c r="J716" s="2">
        <v>12000000</v>
      </c>
      <c r="K716" s="2">
        <v>108000000</v>
      </c>
      <c r="L716" s="3">
        <v>0.15</v>
      </c>
      <c r="M716" t="s">
        <v>19</v>
      </c>
      <c r="N716" t="s">
        <v>1478</v>
      </c>
    </row>
    <row r="717" spans="1:14" x14ac:dyDescent="0.25">
      <c r="A717" t="s">
        <v>1479</v>
      </c>
      <c r="B717" s="10">
        <v>46079</v>
      </c>
      <c r="C717" t="str">
        <f t="shared" si="12"/>
        <v>February</v>
      </c>
      <c r="D717" t="s">
        <v>26</v>
      </c>
      <c r="E717" t="s">
        <v>27</v>
      </c>
      <c r="F717" t="s">
        <v>28</v>
      </c>
      <c r="G717" t="s">
        <v>65</v>
      </c>
      <c r="H717" t="s">
        <v>66</v>
      </c>
      <c r="I717" s="2">
        <v>6</v>
      </c>
      <c r="J717" s="2">
        <v>2500000</v>
      </c>
      <c r="K717" s="2">
        <v>15000000</v>
      </c>
      <c r="L717" s="3">
        <v>0.1</v>
      </c>
      <c r="M717" t="s">
        <v>19</v>
      </c>
      <c r="N717" t="s">
        <v>1480</v>
      </c>
    </row>
    <row r="718" spans="1:14" x14ac:dyDescent="0.25">
      <c r="A718" t="s">
        <v>1481</v>
      </c>
      <c r="B718" s="10">
        <v>46215</v>
      </c>
      <c r="C718" t="str">
        <f t="shared" si="12"/>
        <v>July</v>
      </c>
      <c r="D718" t="s">
        <v>62</v>
      </c>
      <c r="E718" t="s">
        <v>63</v>
      </c>
      <c r="F718" t="s">
        <v>64</v>
      </c>
      <c r="G718" t="s">
        <v>22</v>
      </c>
      <c r="H718" t="s">
        <v>23</v>
      </c>
      <c r="I718" s="2">
        <v>14</v>
      </c>
      <c r="J718" s="2">
        <v>4000000</v>
      </c>
      <c r="K718" s="2">
        <v>56000000</v>
      </c>
      <c r="L718" s="3">
        <v>0</v>
      </c>
      <c r="M718" t="s">
        <v>19</v>
      </c>
      <c r="N718" t="s">
        <v>1482</v>
      </c>
    </row>
    <row r="719" spans="1:14" x14ac:dyDescent="0.25">
      <c r="A719" t="s">
        <v>1483</v>
      </c>
      <c r="B719" s="10">
        <v>46111</v>
      </c>
      <c r="C719" t="str">
        <f t="shared" si="12"/>
        <v>March</v>
      </c>
      <c r="D719" t="s">
        <v>62</v>
      </c>
      <c r="E719" t="s">
        <v>63</v>
      </c>
      <c r="F719" t="s">
        <v>64</v>
      </c>
      <c r="G719" t="s">
        <v>29</v>
      </c>
      <c r="H719" t="s">
        <v>30</v>
      </c>
      <c r="I719" s="2">
        <v>15</v>
      </c>
      <c r="J719" s="2">
        <v>4000000</v>
      </c>
      <c r="K719" s="2">
        <v>60000000</v>
      </c>
      <c r="L719" s="3">
        <v>0.05</v>
      </c>
      <c r="M719" t="s">
        <v>19</v>
      </c>
      <c r="N719" t="s">
        <v>1484</v>
      </c>
    </row>
    <row r="720" spans="1:14" x14ac:dyDescent="0.25">
      <c r="A720" t="s">
        <v>1485</v>
      </c>
      <c r="B720" s="10">
        <v>46105</v>
      </c>
      <c r="C720" t="str">
        <f t="shared" si="12"/>
        <v>March</v>
      </c>
      <c r="D720" t="s">
        <v>34</v>
      </c>
      <c r="E720" t="s">
        <v>35</v>
      </c>
      <c r="F720" t="s">
        <v>36</v>
      </c>
      <c r="G720" t="s">
        <v>17</v>
      </c>
      <c r="H720" t="s">
        <v>18</v>
      </c>
      <c r="I720" s="2">
        <v>7</v>
      </c>
      <c r="J720" s="2">
        <v>2000000</v>
      </c>
      <c r="K720" s="2">
        <v>14000000</v>
      </c>
      <c r="L720" s="3">
        <v>0.1</v>
      </c>
      <c r="M720" t="s">
        <v>31</v>
      </c>
      <c r="N720" t="s">
        <v>1486</v>
      </c>
    </row>
    <row r="721" spans="1:14" x14ac:dyDescent="0.25">
      <c r="A721" t="s">
        <v>1487</v>
      </c>
      <c r="B721" s="10">
        <v>46095</v>
      </c>
      <c r="C721" t="str">
        <f t="shared" si="12"/>
        <v>March</v>
      </c>
      <c r="D721" t="s">
        <v>92</v>
      </c>
      <c r="E721" t="s">
        <v>93</v>
      </c>
      <c r="F721" t="s">
        <v>16</v>
      </c>
      <c r="G721" t="s">
        <v>22</v>
      </c>
      <c r="H721" t="s">
        <v>23</v>
      </c>
      <c r="I721" s="2">
        <v>14</v>
      </c>
      <c r="J721" s="2">
        <v>1500000</v>
      </c>
      <c r="K721" s="2">
        <v>21000000</v>
      </c>
      <c r="L721" s="3">
        <v>0.1</v>
      </c>
      <c r="M721" t="s">
        <v>31</v>
      </c>
      <c r="N721" t="s">
        <v>1488</v>
      </c>
    </row>
    <row r="722" spans="1:14" x14ac:dyDescent="0.25">
      <c r="A722" t="s">
        <v>1489</v>
      </c>
      <c r="B722" s="10">
        <v>46153</v>
      </c>
      <c r="C722" t="str">
        <f t="shared" si="12"/>
        <v>May</v>
      </c>
      <c r="D722" t="s">
        <v>62</v>
      </c>
      <c r="E722" t="s">
        <v>63</v>
      </c>
      <c r="F722" t="s">
        <v>64</v>
      </c>
      <c r="G722" t="s">
        <v>42</v>
      </c>
      <c r="H722" t="s">
        <v>43</v>
      </c>
      <c r="I722" s="2">
        <v>1</v>
      </c>
      <c r="J722" s="2">
        <v>4000000</v>
      </c>
      <c r="K722" s="2">
        <v>4000000</v>
      </c>
      <c r="L722" s="3">
        <v>0.1</v>
      </c>
      <c r="M722" t="s">
        <v>51</v>
      </c>
      <c r="N722" t="s">
        <v>1490</v>
      </c>
    </row>
    <row r="723" spans="1:14" x14ac:dyDescent="0.25">
      <c r="A723" t="s">
        <v>1491</v>
      </c>
      <c r="B723" s="10">
        <v>46105</v>
      </c>
      <c r="C723" t="str">
        <f t="shared" si="12"/>
        <v>March</v>
      </c>
      <c r="D723" t="s">
        <v>14</v>
      </c>
      <c r="E723" t="s">
        <v>15</v>
      </c>
      <c r="F723" t="s">
        <v>16</v>
      </c>
      <c r="G723" t="s">
        <v>17</v>
      </c>
      <c r="H723" t="s">
        <v>18</v>
      </c>
      <c r="I723" s="2">
        <v>3</v>
      </c>
      <c r="J723" s="2">
        <v>3500000</v>
      </c>
      <c r="K723" s="2">
        <v>10500000</v>
      </c>
      <c r="L723" s="3">
        <v>0</v>
      </c>
      <c r="M723" t="s">
        <v>51</v>
      </c>
      <c r="N723" t="s">
        <v>1492</v>
      </c>
    </row>
    <row r="724" spans="1:14" x14ac:dyDescent="0.25">
      <c r="A724" t="s">
        <v>1493</v>
      </c>
      <c r="B724" s="10">
        <v>46076</v>
      </c>
      <c r="C724" t="str">
        <f t="shared" si="12"/>
        <v>February</v>
      </c>
      <c r="D724" t="s">
        <v>26</v>
      </c>
      <c r="E724" t="s">
        <v>27</v>
      </c>
      <c r="F724" t="s">
        <v>28</v>
      </c>
      <c r="G724" t="s">
        <v>42</v>
      </c>
      <c r="H724" t="s">
        <v>43</v>
      </c>
      <c r="I724" s="2">
        <v>14</v>
      </c>
      <c r="J724" s="2">
        <v>2500000</v>
      </c>
      <c r="K724" s="2">
        <v>35000000</v>
      </c>
      <c r="L724" s="3">
        <v>0</v>
      </c>
      <c r="M724" t="s">
        <v>19</v>
      </c>
      <c r="N724" t="s">
        <v>1494</v>
      </c>
    </row>
    <row r="725" spans="1:14" x14ac:dyDescent="0.25">
      <c r="A725" t="s">
        <v>1495</v>
      </c>
      <c r="B725" s="10">
        <v>46235</v>
      </c>
      <c r="C725" t="str">
        <f t="shared" si="12"/>
        <v>August</v>
      </c>
      <c r="D725" t="s">
        <v>34</v>
      </c>
      <c r="E725" t="s">
        <v>35</v>
      </c>
      <c r="F725" t="s">
        <v>36</v>
      </c>
      <c r="G725" t="s">
        <v>17</v>
      </c>
      <c r="H725" t="s">
        <v>18</v>
      </c>
      <c r="I725" s="2">
        <v>12</v>
      </c>
      <c r="J725" s="2">
        <v>2000000</v>
      </c>
      <c r="K725" s="2">
        <v>24000000</v>
      </c>
      <c r="L725" s="3">
        <v>0.05</v>
      </c>
      <c r="M725" t="s">
        <v>19</v>
      </c>
      <c r="N725" t="s">
        <v>1496</v>
      </c>
    </row>
    <row r="726" spans="1:14" x14ac:dyDescent="0.25">
      <c r="A726" t="s">
        <v>1497</v>
      </c>
      <c r="B726" s="10">
        <v>46206</v>
      </c>
      <c r="C726" t="str">
        <f t="shared" si="12"/>
        <v>July</v>
      </c>
      <c r="D726" t="s">
        <v>46</v>
      </c>
      <c r="E726" t="s">
        <v>47</v>
      </c>
      <c r="F726" t="s">
        <v>48</v>
      </c>
      <c r="G726" t="s">
        <v>17</v>
      </c>
      <c r="H726" t="s">
        <v>18</v>
      </c>
      <c r="I726" s="2">
        <v>2</v>
      </c>
      <c r="J726" s="2">
        <v>750000</v>
      </c>
      <c r="K726" s="2">
        <v>1500000</v>
      </c>
      <c r="L726" s="3">
        <v>0</v>
      </c>
      <c r="M726" t="s">
        <v>19</v>
      </c>
      <c r="N726" t="s">
        <v>1498</v>
      </c>
    </row>
    <row r="727" spans="1:14" x14ac:dyDescent="0.25">
      <c r="A727" t="s">
        <v>1499</v>
      </c>
      <c r="B727" s="10">
        <v>46226</v>
      </c>
      <c r="C727" t="str">
        <f t="shared" si="12"/>
        <v>July</v>
      </c>
      <c r="D727" t="s">
        <v>58</v>
      </c>
      <c r="E727" t="s">
        <v>59</v>
      </c>
      <c r="F727" t="s">
        <v>28</v>
      </c>
      <c r="G727" t="s">
        <v>22</v>
      </c>
      <c r="H727" t="s">
        <v>23</v>
      </c>
      <c r="I727" s="2">
        <v>2</v>
      </c>
      <c r="J727" s="2">
        <v>5500000</v>
      </c>
      <c r="K727" s="2">
        <v>11000000</v>
      </c>
      <c r="L727" s="3">
        <v>0.05</v>
      </c>
      <c r="M727" t="s">
        <v>19</v>
      </c>
      <c r="N727" t="s">
        <v>1500</v>
      </c>
    </row>
    <row r="728" spans="1:14" x14ac:dyDescent="0.25">
      <c r="A728" t="s">
        <v>1501</v>
      </c>
      <c r="B728" s="10">
        <v>46122</v>
      </c>
      <c r="C728" t="str">
        <f t="shared" si="12"/>
        <v>April</v>
      </c>
      <c r="D728" t="s">
        <v>62</v>
      </c>
      <c r="E728" t="s">
        <v>63</v>
      </c>
      <c r="F728" t="s">
        <v>64</v>
      </c>
      <c r="G728" t="s">
        <v>42</v>
      </c>
      <c r="H728" t="s">
        <v>43</v>
      </c>
      <c r="I728" s="2">
        <v>7</v>
      </c>
      <c r="J728" s="2">
        <v>4000000</v>
      </c>
      <c r="K728" s="2">
        <v>28000000</v>
      </c>
      <c r="L728" s="3">
        <v>0.1</v>
      </c>
      <c r="M728" t="s">
        <v>19</v>
      </c>
      <c r="N728" t="s">
        <v>1502</v>
      </c>
    </row>
    <row r="729" spans="1:14" x14ac:dyDescent="0.25">
      <c r="A729" t="s">
        <v>1503</v>
      </c>
      <c r="B729" s="10">
        <v>46195</v>
      </c>
      <c r="C729" t="str">
        <f t="shared" si="12"/>
        <v>June</v>
      </c>
      <c r="D729" t="s">
        <v>14</v>
      </c>
      <c r="E729" t="s">
        <v>15</v>
      </c>
      <c r="F729" t="s">
        <v>16</v>
      </c>
      <c r="G729" t="s">
        <v>22</v>
      </c>
      <c r="H729" t="s">
        <v>23</v>
      </c>
      <c r="I729" s="2">
        <v>1</v>
      </c>
      <c r="J729" s="2">
        <v>3500000</v>
      </c>
      <c r="K729" s="2">
        <v>3500000</v>
      </c>
      <c r="L729" s="3">
        <v>0</v>
      </c>
      <c r="M729" t="s">
        <v>51</v>
      </c>
      <c r="N729" t="s">
        <v>1504</v>
      </c>
    </row>
    <row r="730" spans="1:14" x14ac:dyDescent="0.25">
      <c r="A730" t="s">
        <v>1505</v>
      </c>
      <c r="B730" s="10">
        <v>46034</v>
      </c>
      <c r="C730" t="str">
        <f t="shared" si="12"/>
        <v>January</v>
      </c>
      <c r="D730" t="s">
        <v>14</v>
      </c>
      <c r="E730" t="s">
        <v>15</v>
      </c>
      <c r="F730" t="s">
        <v>16</v>
      </c>
      <c r="G730" t="s">
        <v>65</v>
      </c>
      <c r="H730" t="s">
        <v>66</v>
      </c>
      <c r="I730" s="2">
        <v>15</v>
      </c>
      <c r="J730" s="2">
        <v>3500000</v>
      </c>
      <c r="K730" s="2">
        <v>52500000</v>
      </c>
      <c r="L730" s="3">
        <v>0</v>
      </c>
      <c r="M730" t="s">
        <v>19</v>
      </c>
      <c r="N730" t="s">
        <v>1506</v>
      </c>
    </row>
    <row r="731" spans="1:14" x14ac:dyDescent="0.25">
      <c r="A731" t="s">
        <v>1507</v>
      </c>
      <c r="B731" s="10">
        <v>46198</v>
      </c>
      <c r="C731" t="str">
        <f t="shared" si="12"/>
        <v>June</v>
      </c>
      <c r="D731" t="s">
        <v>58</v>
      </c>
      <c r="E731" t="s">
        <v>59</v>
      </c>
      <c r="F731" t="s">
        <v>28</v>
      </c>
      <c r="G731" t="s">
        <v>22</v>
      </c>
      <c r="H731" t="s">
        <v>23</v>
      </c>
      <c r="I731" s="2">
        <v>2</v>
      </c>
      <c r="J731" s="2">
        <v>5500000</v>
      </c>
      <c r="K731" s="2">
        <v>11000000</v>
      </c>
      <c r="L731" s="3">
        <v>0.1</v>
      </c>
      <c r="M731" t="s">
        <v>77</v>
      </c>
      <c r="N731" t="s">
        <v>1508</v>
      </c>
    </row>
    <row r="732" spans="1:14" x14ac:dyDescent="0.25">
      <c r="A732" t="s">
        <v>1509</v>
      </c>
      <c r="B732" s="10">
        <v>46124</v>
      </c>
      <c r="C732" t="str">
        <f t="shared" si="12"/>
        <v>April</v>
      </c>
      <c r="D732" t="s">
        <v>92</v>
      </c>
      <c r="E732" t="s">
        <v>93</v>
      </c>
      <c r="F732" t="s">
        <v>16</v>
      </c>
      <c r="G732" t="s">
        <v>42</v>
      </c>
      <c r="H732" t="s">
        <v>43</v>
      </c>
      <c r="I732" s="2">
        <v>3</v>
      </c>
      <c r="J732" s="2">
        <v>1500000</v>
      </c>
      <c r="K732" s="2">
        <v>4500000</v>
      </c>
      <c r="L732" s="3">
        <v>0.05</v>
      </c>
      <c r="M732" t="s">
        <v>19</v>
      </c>
      <c r="N732" t="s">
        <v>1510</v>
      </c>
    </row>
    <row r="733" spans="1:14" x14ac:dyDescent="0.25">
      <c r="A733" t="s">
        <v>1511</v>
      </c>
      <c r="B733" s="10">
        <v>46123</v>
      </c>
      <c r="C733" t="str">
        <f t="shared" si="12"/>
        <v>April</v>
      </c>
      <c r="D733" t="s">
        <v>58</v>
      </c>
      <c r="E733" t="s">
        <v>59</v>
      </c>
      <c r="F733" t="s">
        <v>28</v>
      </c>
      <c r="G733" t="s">
        <v>29</v>
      </c>
      <c r="H733" t="s">
        <v>30</v>
      </c>
      <c r="I733" s="2">
        <v>5</v>
      </c>
      <c r="J733" s="2">
        <v>5500000</v>
      </c>
      <c r="K733" s="2">
        <v>27500000</v>
      </c>
      <c r="L733" s="3">
        <v>0.1</v>
      </c>
      <c r="M733" t="s">
        <v>19</v>
      </c>
      <c r="N733" t="s">
        <v>1512</v>
      </c>
    </row>
    <row r="734" spans="1:14" x14ac:dyDescent="0.25">
      <c r="A734" t="s">
        <v>1513</v>
      </c>
      <c r="B734" s="10">
        <v>46165</v>
      </c>
      <c r="C734" t="str">
        <f t="shared" si="12"/>
        <v>May</v>
      </c>
      <c r="D734" t="s">
        <v>39</v>
      </c>
      <c r="E734" t="s">
        <v>40</v>
      </c>
      <c r="F734" t="s">
        <v>41</v>
      </c>
      <c r="G734" t="s">
        <v>17</v>
      </c>
      <c r="H734" t="s">
        <v>18</v>
      </c>
      <c r="I734" s="2">
        <v>1</v>
      </c>
      <c r="J734" s="2">
        <v>12000000</v>
      </c>
      <c r="K734" s="2">
        <v>12000000</v>
      </c>
      <c r="L734" s="3">
        <v>0</v>
      </c>
      <c r="M734" t="s">
        <v>31</v>
      </c>
      <c r="N734" t="s">
        <v>1514</v>
      </c>
    </row>
    <row r="735" spans="1:14" x14ac:dyDescent="0.25">
      <c r="A735" t="s">
        <v>1515</v>
      </c>
      <c r="B735" s="10">
        <v>46123</v>
      </c>
      <c r="C735" t="str">
        <f t="shared" si="12"/>
        <v>April</v>
      </c>
      <c r="D735" t="s">
        <v>14</v>
      </c>
      <c r="E735" t="s">
        <v>15</v>
      </c>
      <c r="F735" t="s">
        <v>16</v>
      </c>
      <c r="G735" t="s">
        <v>65</v>
      </c>
      <c r="H735" t="s">
        <v>66</v>
      </c>
      <c r="I735" s="2">
        <v>4</v>
      </c>
      <c r="J735" s="2">
        <v>3500000</v>
      </c>
      <c r="K735" s="2">
        <v>14000000</v>
      </c>
      <c r="L735" s="3">
        <v>0.1</v>
      </c>
      <c r="M735" t="s">
        <v>19</v>
      </c>
      <c r="N735" t="s">
        <v>1516</v>
      </c>
    </row>
    <row r="736" spans="1:14" x14ac:dyDescent="0.25">
      <c r="A736" t="s">
        <v>1517</v>
      </c>
      <c r="B736" s="10">
        <v>46188</v>
      </c>
      <c r="C736" t="str">
        <f t="shared" si="12"/>
        <v>June</v>
      </c>
      <c r="D736" t="s">
        <v>39</v>
      </c>
      <c r="E736" t="s">
        <v>40</v>
      </c>
      <c r="F736" t="s">
        <v>41</v>
      </c>
      <c r="G736" t="s">
        <v>29</v>
      </c>
      <c r="H736" t="s">
        <v>30</v>
      </c>
      <c r="I736" s="2">
        <v>3</v>
      </c>
      <c r="J736" s="2">
        <v>12000000</v>
      </c>
      <c r="K736" s="2">
        <v>36000000</v>
      </c>
      <c r="L736" s="3">
        <v>0.05</v>
      </c>
      <c r="M736" t="s">
        <v>31</v>
      </c>
      <c r="N736" t="s">
        <v>1518</v>
      </c>
    </row>
    <row r="737" spans="1:14" x14ac:dyDescent="0.25">
      <c r="A737" t="s">
        <v>1519</v>
      </c>
      <c r="B737" s="10">
        <v>46087</v>
      </c>
      <c r="C737" t="str">
        <f t="shared" si="12"/>
        <v>March</v>
      </c>
      <c r="D737" t="s">
        <v>26</v>
      </c>
      <c r="E737" t="s">
        <v>27</v>
      </c>
      <c r="F737" t="s">
        <v>28</v>
      </c>
      <c r="G737" t="s">
        <v>17</v>
      </c>
      <c r="H737" t="s">
        <v>18</v>
      </c>
      <c r="I737" s="2">
        <v>3</v>
      </c>
      <c r="J737" s="2">
        <v>2500000</v>
      </c>
      <c r="K737" s="2">
        <v>7500000</v>
      </c>
      <c r="L737" s="3">
        <v>0</v>
      </c>
      <c r="M737" t="s">
        <v>31</v>
      </c>
      <c r="N737" t="s">
        <v>1520</v>
      </c>
    </row>
    <row r="738" spans="1:14" x14ac:dyDescent="0.25">
      <c r="A738" t="s">
        <v>1521</v>
      </c>
      <c r="B738" s="10">
        <v>46188</v>
      </c>
      <c r="C738" t="str">
        <f t="shared" si="12"/>
        <v>June</v>
      </c>
      <c r="D738" t="s">
        <v>14</v>
      </c>
      <c r="E738" t="s">
        <v>15</v>
      </c>
      <c r="F738" t="s">
        <v>16</v>
      </c>
      <c r="G738" t="s">
        <v>65</v>
      </c>
      <c r="H738" t="s">
        <v>66</v>
      </c>
      <c r="I738" s="2">
        <v>11</v>
      </c>
      <c r="J738" s="2">
        <v>3500000</v>
      </c>
      <c r="K738" s="2">
        <v>38500000</v>
      </c>
      <c r="L738" s="3">
        <v>0</v>
      </c>
      <c r="M738" t="s">
        <v>19</v>
      </c>
      <c r="N738" t="s">
        <v>1522</v>
      </c>
    </row>
    <row r="739" spans="1:14" x14ac:dyDescent="0.25">
      <c r="A739" t="s">
        <v>1523</v>
      </c>
      <c r="B739" s="10">
        <v>46073</v>
      </c>
      <c r="C739" t="str">
        <f t="shared" si="12"/>
        <v>February</v>
      </c>
      <c r="D739" t="s">
        <v>62</v>
      </c>
      <c r="E739" t="s">
        <v>63</v>
      </c>
      <c r="F739" t="s">
        <v>64</v>
      </c>
      <c r="G739" t="s">
        <v>65</v>
      </c>
      <c r="H739" t="s">
        <v>66</v>
      </c>
      <c r="I739" s="2">
        <v>6</v>
      </c>
      <c r="J739" s="2">
        <v>4000000</v>
      </c>
      <c r="K739" s="2">
        <v>24000000</v>
      </c>
      <c r="L739" s="3">
        <v>0.05</v>
      </c>
      <c r="M739" t="s">
        <v>51</v>
      </c>
      <c r="N739" t="s">
        <v>1524</v>
      </c>
    </row>
    <row r="740" spans="1:14" x14ac:dyDescent="0.25">
      <c r="A740" t="s">
        <v>1525</v>
      </c>
      <c r="B740" s="10">
        <v>46083</v>
      </c>
      <c r="C740" t="str">
        <f t="shared" si="12"/>
        <v>March</v>
      </c>
      <c r="D740" t="s">
        <v>14</v>
      </c>
      <c r="E740" t="s">
        <v>15</v>
      </c>
      <c r="F740" t="s">
        <v>16</v>
      </c>
      <c r="G740" t="s">
        <v>65</v>
      </c>
      <c r="H740" t="s">
        <v>66</v>
      </c>
      <c r="I740" s="2">
        <v>10</v>
      </c>
      <c r="J740" s="2">
        <v>3500000</v>
      </c>
      <c r="K740" s="2">
        <v>35000000</v>
      </c>
      <c r="L740" s="3">
        <v>0</v>
      </c>
      <c r="M740" t="s">
        <v>19</v>
      </c>
      <c r="N740" t="s">
        <v>1526</v>
      </c>
    </row>
    <row r="741" spans="1:14" x14ac:dyDescent="0.25">
      <c r="A741" t="s">
        <v>1527</v>
      </c>
      <c r="B741" s="10">
        <v>46147</v>
      </c>
      <c r="C741" t="str">
        <f t="shared" si="12"/>
        <v>May</v>
      </c>
      <c r="D741" t="s">
        <v>62</v>
      </c>
      <c r="E741" t="s">
        <v>63</v>
      </c>
      <c r="F741" t="s">
        <v>64</v>
      </c>
      <c r="G741" t="s">
        <v>65</v>
      </c>
      <c r="H741" t="s">
        <v>66</v>
      </c>
      <c r="I741" s="2">
        <v>10</v>
      </c>
      <c r="J741" s="2">
        <v>4000000</v>
      </c>
      <c r="K741" s="2">
        <v>40000000</v>
      </c>
      <c r="L741" s="3">
        <v>0.1</v>
      </c>
      <c r="M741" t="s">
        <v>51</v>
      </c>
      <c r="N741" t="s">
        <v>1528</v>
      </c>
    </row>
    <row r="742" spans="1:14" x14ac:dyDescent="0.25">
      <c r="A742" t="s">
        <v>1529</v>
      </c>
      <c r="B742" s="10">
        <v>46062</v>
      </c>
      <c r="C742" t="str">
        <f t="shared" si="12"/>
        <v>February</v>
      </c>
      <c r="D742" t="s">
        <v>46</v>
      </c>
      <c r="E742" t="s">
        <v>47</v>
      </c>
      <c r="F742" t="s">
        <v>48</v>
      </c>
      <c r="G742" t="s">
        <v>65</v>
      </c>
      <c r="H742" t="s">
        <v>66</v>
      </c>
      <c r="I742" s="2">
        <v>7</v>
      </c>
      <c r="J742" s="2">
        <v>750000</v>
      </c>
      <c r="K742" s="2">
        <v>5250000</v>
      </c>
      <c r="L742" s="3">
        <v>0.05</v>
      </c>
      <c r="M742" t="s">
        <v>19</v>
      </c>
      <c r="N742" t="s">
        <v>1530</v>
      </c>
    </row>
    <row r="743" spans="1:14" x14ac:dyDescent="0.25">
      <c r="A743" t="s">
        <v>1531</v>
      </c>
      <c r="B743" s="10">
        <v>46086</v>
      </c>
      <c r="C743" t="str">
        <f t="shared" si="12"/>
        <v>March</v>
      </c>
      <c r="D743" t="s">
        <v>26</v>
      </c>
      <c r="E743" t="s">
        <v>27</v>
      </c>
      <c r="F743" t="s">
        <v>28</v>
      </c>
      <c r="G743" t="s">
        <v>42</v>
      </c>
      <c r="H743" t="s">
        <v>43</v>
      </c>
      <c r="I743" s="2">
        <v>5</v>
      </c>
      <c r="J743" s="2">
        <v>2500000</v>
      </c>
      <c r="K743" s="2">
        <v>12500000</v>
      </c>
      <c r="L743" s="3">
        <v>0.1</v>
      </c>
      <c r="M743" t="s">
        <v>19</v>
      </c>
      <c r="N743" t="s">
        <v>1532</v>
      </c>
    </row>
    <row r="744" spans="1:14" x14ac:dyDescent="0.25">
      <c r="A744" t="s">
        <v>1533</v>
      </c>
      <c r="B744" s="10">
        <v>46210</v>
      </c>
      <c r="C744" t="str">
        <f t="shared" si="12"/>
        <v>July</v>
      </c>
      <c r="D744" t="s">
        <v>46</v>
      </c>
      <c r="E744" t="s">
        <v>47</v>
      </c>
      <c r="F744" t="s">
        <v>48</v>
      </c>
      <c r="G744" t="s">
        <v>42</v>
      </c>
      <c r="H744" t="s">
        <v>43</v>
      </c>
      <c r="I744" s="2">
        <v>8</v>
      </c>
      <c r="J744" s="2">
        <v>750000</v>
      </c>
      <c r="K744" s="2">
        <v>6000000</v>
      </c>
      <c r="L744" s="3">
        <v>0.15</v>
      </c>
      <c r="M744" t="s">
        <v>19</v>
      </c>
      <c r="N744" t="s">
        <v>1534</v>
      </c>
    </row>
    <row r="745" spans="1:14" x14ac:dyDescent="0.25">
      <c r="A745" t="s">
        <v>1535</v>
      </c>
      <c r="B745" s="10">
        <v>46101</v>
      </c>
      <c r="C745" t="str">
        <f t="shared" si="12"/>
        <v>March</v>
      </c>
      <c r="D745" t="s">
        <v>62</v>
      </c>
      <c r="E745" t="s">
        <v>63</v>
      </c>
      <c r="F745" t="s">
        <v>64</v>
      </c>
      <c r="G745" t="s">
        <v>22</v>
      </c>
      <c r="H745" t="s">
        <v>23</v>
      </c>
      <c r="I745" s="2">
        <v>2</v>
      </c>
      <c r="J745" s="2">
        <v>4000000</v>
      </c>
      <c r="K745" s="2">
        <v>8000000</v>
      </c>
      <c r="L745" s="3">
        <v>0.05</v>
      </c>
      <c r="M745" t="s">
        <v>51</v>
      </c>
      <c r="N745" t="s">
        <v>1536</v>
      </c>
    </row>
    <row r="746" spans="1:14" x14ac:dyDescent="0.25">
      <c r="A746" t="s">
        <v>1537</v>
      </c>
      <c r="B746" s="10">
        <v>46043</v>
      </c>
      <c r="C746" t="str">
        <f t="shared" si="12"/>
        <v>January</v>
      </c>
      <c r="D746" t="s">
        <v>58</v>
      </c>
      <c r="E746" t="s">
        <v>59</v>
      </c>
      <c r="F746" t="s">
        <v>28</v>
      </c>
      <c r="G746" t="s">
        <v>29</v>
      </c>
      <c r="H746" t="s">
        <v>30</v>
      </c>
      <c r="I746" s="2">
        <v>15</v>
      </c>
      <c r="J746" s="2">
        <v>5500000</v>
      </c>
      <c r="K746" s="2">
        <v>82500000</v>
      </c>
      <c r="L746" s="3">
        <v>0.05</v>
      </c>
      <c r="M746" t="s">
        <v>19</v>
      </c>
      <c r="N746" t="s">
        <v>1538</v>
      </c>
    </row>
    <row r="747" spans="1:14" x14ac:dyDescent="0.25">
      <c r="A747" t="s">
        <v>1539</v>
      </c>
      <c r="B747" s="10">
        <v>46183</v>
      </c>
      <c r="C747" t="str">
        <f t="shared" si="12"/>
        <v>June</v>
      </c>
      <c r="D747" t="s">
        <v>14</v>
      </c>
      <c r="E747" t="s">
        <v>15</v>
      </c>
      <c r="F747" t="s">
        <v>16</v>
      </c>
      <c r="G747" t="s">
        <v>17</v>
      </c>
      <c r="H747" t="s">
        <v>18</v>
      </c>
      <c r="I747" s="2">
        <v>15</v>
      </c>
      <c r="J747" s="2">
        <v>3500000</v>
      </c>
      <c r="K747" s="2">
        <v>52500000</v>
      </c>
      <c r="L747" s="3">
        <v>0</v>
      </c>
      <c r="M747" t="s">
        <v>31</v>
      </c>
      <c r="N747" t="s">
        <v>1540</v>
      </c>
    </row>
    <row r="748" spans="1:14" x14ac:dyDescent="0.25">
      <c r="A748" t="s">
        <v>1541</v>
      </c>
      <c r="B748" s="10">
        <v>46030</v>
      </c>
      <c r="C748" t="str">
        <f t="shared" si="12"/>
        <v>January</v>
      </c>
      <c r="D748" t="s">
        <v>34</v>
      </c>
      <c r="E748" t="s">
        <v>35</v>
      </c>
      <c r="F748" t="s">
        <v>36</v>
      </c>
      <c r="G748" t="s">
        <v>22</v>
      </c>
      <c r="H748" t="s">
        <v>23</v>
      </c>
      <c r="I748" s="2">
        <v>4</v>
      </c>
      <c r="J748" s="2">
        <v>2000000</v>
      </c>
      <c r="K748" s="2">
        <v>8000000</v>
      </c>
      <c r="L748" s="3">
        <v>0</v>
      </c>
      <c r="M748" t="s">
        <v>31</v>
      </c>
      <c r="N748" t="s">
        <v>1542</v>
      </c>
    </row>
    <row r="749" spans="1:14" x14ac:dyDescent="0.25">
      <c r="A749" t="s">
        <v>1543</v>
      </c>
      <c r="B749" s="10">
        <v>46162</v>
      </c>
      <c r="C749" t="str">
        <f t="shared" si="12"/>
        <v>May</v>
      </c>
      <c r="D749" t="s">
        <v>62</v>
      </c>
      <c r="E749" t="s">
        <v>63</v>
      </c>
      <c r="F749" t="s">
        <v>64</v>
      </c>
      <c r="G749" t="s">
        <v>29</v>
      </c>
      <c r="H749" t="s">
        <v>30</v>
      </c>
      <c r="I749" s="2">
        <v>6</v>
      </c>
      <c r="J749" s="2">
        <v>4000000</v>
      </c>
      <c r="K749" s="2">
        <v>24000000</v>
      </c>
      <c r="L749" s="3">
        <v>0.15</v>
      </c>
      <c r="M749" t="s">
        <v>19</v>
      </c>
      <c r="N749" t="s">
        <v>1544</v>
      </c>
    </row>
    <row r="750" spans="1:14" x14ac:dyDescent="0.25">
      <c r="A750" t="s">
        <v>1545</v>
      </c>
      <c r="B750" s="10">
        <v>46173</v>
      </c>
      <c r="C750" t="str">
        <f t="shared" si="12"/>
        <v>May</v>
      </c>
      <c r="D750" t="s">
        <v>58</v>
      </c>
      <c r="E750" t="s">
        <v>59</v>
      </c>
      <c r="F750" t="s">
        <v>28</v>
      </c>
      <c r="G750" t="s">
        <v>29</v>
      </c>
      <c r="H750" t="s">
        <v>30</v>
      </c>
      <c r="I750" s="2">
        <v>8</v>
      </c>
      <c r="J750" s="2">
        <v>5500000</v>
      </c>
      <c r="K750" s="2">
        <v>44000000</v>
      </c>
      <c r="L750" s="3">
        <v>0</v>
      </c>
      <c r="M750" t="s">
        <v>77</v>
      </c>
      <c r="N750" t="s">
        <v>1546</v>
      </c>
    </row>
    <row r="751" spans="1:14" x14ac:dyDescent="0.25">
      <c r="A751" t="s">
        <v>1547</v>
      </c>
      <c r="B751" s="10">
        <v>46151</v>
      </c>
      <c r="C751" t="str">
        <f t="shared" si="12"/>
        <v>May</v>
      </c>
      <c r="D751" t="s">
        <v>92</v>
      </c>
      <c r="E751" t="s">
        <v>93</v>
      </c>
      <c r="F751" t="s">
        <v>16</v>
      </c>
      <c r="G751" t="s">
        <v>29</v>
      </c>
      <c r="H751" t="s">
        <v>30</v>
      </c>
      <c r="I751" s="2">
        <v>14</v>
      </c>
      <c r="J751" s="2">
        <v>1500000</v>
      </c>
      <c r="K751" s="2">
        <v>21000000</v>
      </c>
      <c r="L751" s="3">
        <v>0.05</v>
      </c>
      <c r="M751" t="s">
        <v>31</v>
      </c>
      <c r="N751" t="s">
        <v>1548</v>
      </c>
    </row>
    <row r="752" spans="1:14" x14ac:dyDescent="0.25">
      <c r="A752" t="s">
        <v>1549</v>
      </c>
      <c r="B752" s="10">
        <v>46137</v>
      </c>
      <c r="C752" t="str">
        <f t="shared" si="12"/>
        <v>April</v>
      </c>
      <c r="D752" t="s">
        <v>39</v>
      </c>
      <c r="E752" t="s">
        <v>40</v>
      </c>
      <c r="F752" t="s">
        <v>41</v>
      </c>
      <c r="G752" t="s">
        <v>29</v>
      </c>
      <c r="H752" t="s">
        <v>30</v>
      </c>
      <c r="I752" s="2">
        <v>10</v>
      </c>
      <c r="J752" s="2">
        <v>12000000</v>
      </c>
      <c r="K752" s="2">
        <v>120000000</v>
      </c>
      <c r="L752" s="3">
        <v>0.05</v>
      </c>
      <c r="M752" t="s">
        <v>51</v>
      </c>
      <c r="N752" t="s">
        <v>1550</v>
      </c>
    </row>
    <row r="753" spans="1:14" x14ac:dyDescent="0.25">
      <c r="A753" t="s">
        <v>1551</v>
      </c>
      <c r="B753" s="10">
        <v>46146</v>
      </c>
      <c r="C753" t="str">
        <f t="shared" si="12"/>
        <v>May</v>
      </c>
      <c r="D753" t="s">
        <v>46</v>
      </c>
      <c r="E753" t="s">
        <v>47</v>
      </c>
      <c r="F753" t="s">
        <v>48</v>
      </c>
      <c r="G753" t="s">
        <v>17</v>
      </c>
      <c r="H753" t="s">
        <v>18</v>
      </c>
      <c r="I753" s="2">
        <v>4</v>
      </c>
      <c r="J753" s="2">
        <v>750000</v>
      </c>
      <c r="K753" s="2">
        <v>3000000</v>
      </c>
      <c r="L753" s="3">
        <v>0.15</v>
      </c>
      <c r="M753" t="s">
        <v>19</v>
      </c>
      <c r="N753" t="s">
        <v>1552</v>
      </c>
    </row>
    <row r="754" spans="1:14" x14ac:dyDescent="0.25">
      <c r="A754" t="s">
        <v>1553</v>
      </c>
      <c r="B754" s="10">
        <v>46090</v>
      </c>
      <c r="C754" t="str">
        <f t="shared" si="12"/>
        <v>March</v>
      </c>
      <c r="D754" t="s">
        <v>46</v>
      </c>
      <c r="E754" t="s">
        <v>47</v>
      </c>
      <c r="F754" t="s">
        <v>48</v>
      </c>
      <c r="G754" t="s">
        <v>29</v>
      </c>
      <c r="H754" t="s">
        <v>30</v>
      </c>
      <c r="I754" s="2">
        <v>1</v>
      </c>
      <c r="J754" s="2">
        <v>750000</v>
      </c>
      <c r="K754" s="2">
        <v>750000</v>
      </c>
      <c r="L754" s="3">
        <v>0.05</v>
      </c>
      <c r="M754" t="s">
        <v>31</v>
      </c>
      <c r="N754" t="s">
        <v>1554</v>
      </c>
    </row>
    <row r="755" spans="1:14" x14ac:dyDescent="0.25">
      <c r="A755" t="s">
        <v>1555</v>
      </c>
      <c r="B755" s="10">
        <v>46115</v>
      </c>
      <c r="C755" t="str">
        <f t="shared" si="12"/>
        <v>April</v>
      </c>
      <c r="D755" t="s">
        <v>34</v>
      </c>
      <c r="E755" t="s">
        <v>35</v>
      </c>
      <c r="F755" t="s">
        <v>36</v>
      </c>
      <c r="G755" t="s">
        <v>42</v>
      </c>
      <c r="H755" t="s">
        <v>43</v>
      </c>
      <c r="I755" s="2">
        <v>15</v>
      </c>
      <c r="J755" s="2">
        <v>2000000</v>
      </c>
      <c r="K755" s="2">
        <v>30000000</v>
      </c>
      <c r="L755" s="3">
        <v>0.15</v>
      </c>
      <c r="M755" t="s">
        <v>19</v>
      </c>
      <c r="N755" t="s">
        <v>1556</v>
      </c>
    </row>
    <row r="756" spans="1:14" x14ac:dyDescent="0.25">
      <c r="A756" t="s">
        <v>1557</v>
      </c>
      <c r="B756" s="10">
        <v>46189</v>
      </c>
      <c r="C756" t="str">
        <f t="shared" si="12"/>
        <v>June</v>
      </c>
      <c r="D756" t="s">
        <v>46</v>
      </c>
      <c r="E756" t="s">
        <v>47</v>
      </c>
      <c r="F756" t="s">
        <v>48</v>
      </c>
      <c r="G756" t="s">
        <v>17</v>
      </c>
      <c r="H756" t="s">
        <v>18</v>
      </c>
      <c r="I756" s="2">
        <v>12</v>
      </c>
      <c r="J756" s="2">
        <v>750000</v>
      </c>
      <c r="K756" s="2">
        <v>9000000</v>
      </c>
      <c r="L756" s="3">
        <v>0.1</v>
      </c>
      <c r="M756" t="s">
        <v>51</v>
      </c>
      <c r="N756" t="s">
        <v>1558</v>
      </c>
    </row>
    <row r="757" spans="1:14" x14ac:dyDescent="0.25">
      <c r="A757" t="s">
        <v>1559</v>
      </c>
      <c r="B757" s="10">
        <v>46171</v>
      </c>
      <c r="C757" t="str">
        <f t="shared" si="12"/>
        <v>May</v>
      </c>
      <c r="D757" t="s">
        <v>39</v>
      </c>
      <c r="E757" t="s">
        <v>40</v>
      </c>
      <c r="F757" t="s">
        <v>41</v>
      </c>
      <c r="G757" t="s">
        <v>42</v>
      </c>
      <c r="H757" t="s">
        <v>43</v>
      </c>
      <c r="I757" s="2">
        <v>11</v>
      </c>
      <c r="J757" s="2">
        <v>12000000</v>
      </c>
      <c r="K757" s="2">
        <v>132000000</v>
      </c>
      <c r="L757" s="3">
        <v>0.15</v>
      </c>
      <c r="M757" t="s">
        <v>19</v>
      </c>
      <c r="N757" t="s">
        <v>1560</v>
      </c>
    </row>
    <row r="758" spans="1:14" x14ac:dyDescent="0.25">
      <c r="A758" t="s">
        <v>1561</v>
      </c>
      <c r="B758" s="10">
        <v>46190</v>
      </c>
      <c r="C758" t="str">
        <f t="shared" si="12"/>
        <v>June</v>
      </c>
      <c r="D758" t="s">
        <v>14</v>
      </c>
      <c r="E758" t="s">
        <v>15</v>
      </c>
      <c r="F758" t="s">
        <v>16</v>
      </c>
      <c r="G758" t="s">
        <v>22</v>
      </c>
      <c r="H758" t="s">
        <v>23</v>
      </c>
      <c r="I758" s="2">
        <v>5</v>
      </c>
      <c r="J758" s="2">
        <v>3500000</v>
      </c>
      <c r="K758" s="2">
        <v>17500000</v>
      </c>
      <c r="L758" s="3">
        <v>0.15</v>
      </c>
      <c r="M758" t="s">
        <v>19</v>
      </c>
      <c r="N758" t="s">
        <v>1562</v>
      </c>
    </row>
    <row r="759" spans="1:14" x14ac:dyDescent="0.25">
      <c r="A759" t="s">
        <v>1563</v>
      </c>
      <c r="B759" s="10">
        <v>46126</v>
      </c>
      <c r="C759" t="str">
        <f t="shared" si="12"/>
        <v>April</v>
      </c>
      <c r="D759" t="s">
        <v>46</v>
      </c>
      <c r="E759" t="s">
        <v>47</v>
      </c>
      <c r="F759" t="s">
        <v>48</v>
      </c>
      <c r="G759" t="s">
        <v>65</v>
      </c>
      <c r="H759" t="s">
        <v>66</v>
      </c>
      <c r="I759" s="2">
        <v>8</v>
      </c>
      <c r="J759" s="2">
        <v>750000</v>
      </c>
      <c r="K759" s="2">
        <v>6000000</v>
      </c>
      <c r="L759" s="3">
        <v>0.15</v>
      </c>
      <c r="M759" t="s">
        <v>31</v>
      </c>
      <c r="N759" t="s">
        <v>1564</v>
      </c>
    </row>
    <row r="760" spans="1:14" x14ac:dyDescent="0.25">
      <c r="A760" t="s">
        <v>1565</v>
      </c>
      <c r="B760" s="10">
        <v>46151</v>
      </c>
      <c r="C760" t="str">
        <f t="shared" si="12"/>
        <v>May</v>
      </c>
      <c r="D760" t="s">
        <v>39</v>
      </c>
      <c r="E760" t="s">
        <v>40</v>
      </c>
      <c r="F760" t="s">
        <v>41</v>
      </c>
      <c r="G760" t="s">
        <v>42</v>
      </c>
      <c r="H760" t="s">
        <v>43</v>
      </c>
      <c r="I760" s="2">
        <v>3</v>
      </c>
      <c r="J760" s="2">
        <v>12000000</v>
      </c>
      <c r="K760" s="2">
        <v>36000000</v>
      </c>
      <c r="L760" s="3">
        <v>0.05</v>
      </c>
      <c r="M760" t="s">
        <v>19</v>
      </c>
      <c r="N760" t="s">
        <v>1566</v>
      </c>
    </row>
    <row r="761" spans="1:14" x14ac:dyDescent="0.25">
      <c r="A761" t="s">
        <v>1567</v>
      </c>
      <c r="B761" s="10">
        <v>46187</v>
      </c>
      <c r="C761" t="str">
        <f t="shared" si="12"/>
        <v>June</v>
      </c>
      <c r="D761" t="s">
        <v>58</v>
      </c>
      <c r="E761" t="s">
        <v>59</v>
      </c>
      <c r="F761" t="s">
        <v>28</v>
      </c>
      <c r="G761" t="s">
        <v>29</v>
      </c>
      <c r="H761" t="s">
        <v>30</v>
      </c>
      <c r="I761" s="2">
        <v>3</v>
      </c>
      <c r="J761" s="2">
        <v>5500000</v>
      </c>
      <c r="K761" s="2">
        <v>16500000</v>
      </c>
      <c r="L761" s="3">
        <v>0.05</v>
      </c>
      <c r="M761" t="s">
        <v>19</v>
      </c>
      <c r="N761" t="s">
        <v>1568</v>
      </c>
    </row>
    <row r="762" spans="1:14" x14ac:dyDescent="0.25">
      <c r="A762" t="s">
        <v>1569</v>
      </c>
      <c r="B762" s="10">
        <v>46177</v>
      </c>
      <c r="C762" t="str">
        <f t="shared" si="12"/>
        <v>June</v>
      </c>
      <c r="D762" t="s">
        <v>14</v>
      </c>
      <c r="E762" t="s">
        <v>15</v>
      </c>
      <c r="F762" t="s">
        <v>16</v>
      </c>
      <c r="G762" t="s">
        <v>29</v>
      </c>
      <c r="H762" t="s">
        <v>30</v>
      </c>
      <c r="I762" s="2">
        <v>7</v>
      </c>
      <c r="J762" s="2">
        <v>3500000</v>
      </c>
      <c r="K762" s="2">
        <v>24500000</v>
      </c>
      <c r="L762" s="3">
        <v>0.1</v>
      </c>
      <c r="M762" t="s">
        <v>51</v>
      </c>
      <c r="N762" t="s">
        <v>1570</v>
      </c>
    </row>
    <row r="763" spans="1:14" x14ac:dyDescent="0.25">
      <c r="A763" t="s">
        <v>1571</v>
      </c>
      <c r="B763" s="10">
        <v>46146</v>
      </c>
      <c r="C763" t="str">
        <f t="shared" si="12"/>
        <v>May</v>
      </c>
      <c r="D763" t="s">
        <v>62</v>
      </c>
      <c r="E763" t="s">
        <v>63</v>
      </c>
      <c r="F763" t="s">
        <v>64</v>
      </c>
      <c r="G763" t="s">
        <v>42</v>
      </c>
      <c r="H763" t="s">
        <v>43</v>
      </c>
      <c r="I763" s="2">
        <v>4</v>
      </c>
      <c r="J763" s="2">
        <v>4000000</v>
      </c>
      <c r="K763" s="2">
        <v>16000000</v>
      </c>
      <c r="L763" s="3">
        <v>0.05</v>
      </c>
      <c r="M763" t="s">
        <v>51</v>
      </c>
      <c r="N763" t="s">
        <v>1572</v>
      </c>
    </row>
    <row r="764" spans="1:14" x14ac:dyDescent="0.25">
      <c r="A764" t="s">
        <v>1573</v>
      </c>
      <c r="B764" s="10">
        <v>46128</v>
      </c>
      <c r="C764" t="str">
        <f t="shared" si="12"/>
        <v>April</v>
      </c>
      <c r="D764" t="s">
        <v>92</v>
      </c>
      <c r="E764" t="s">
        <v>93</v>
      </c>
      <c r="F764" t="s">
        <v>16</v>
      </c>
      <c r="G764" t="s">
        <v>29</v>
      </c>
      <c r="H764" t="s">
        <v>30</v>
      </c>
      <c r="I764" s="2">
        <v>1</v>
      </c>
      <c r="J764" s="2">
        <v>1500000</v>
      </c>
      <c r="K764" s="2">
        <v>1500000</v>
      </c>
      <c r="L764" s="3">
        <v>0.05</v>
      </c>
      <c r="M764" t="s">
        <v>31</v>
      </c>
      <c r="N764" t="s">
        <v>1574</v>
      </c>
    </row>
    <row r="765" spans="1:14" x14ac:dyDescent="0.25">
      <c r="A765" t="s">
        <v>1575</v>
      </c>
      <c r="B765" s="10">
        <v>46064</v>
      </c>
      <c r="C765" t="str">
        <f t="shared" si="12"/>
        <v>February</v>
      </c>
      <c r="D765" t="s">
        <v>39</v>
      </c>
      <c r="E765" t="s">
        <v>40</v>
      </c>
      <c r="F765" t="s">
        <v>41</v>
      </c>
      <c r="G765" t="s">
        <v>22</v>
      </c>
      <c r="H765" t="s">
        <v>23</v>
      </c>
      <c r="I765" s="2">
        <v>1</v>
      </c>
      <c r="J765" s="2">
        <v>12000000</v>
      </c>
      <c r="K765" s="2">
        <v>12000000</v>
      </c>
      <c r="L765" s="3">
        <v>0.05</v>
      </c>
      <c r="M765" t="s">
        <v>19</v>
      </c>
      <c r="N765" t="s">
        <v>1576</v>
      </c>
    </row>
    <row r="766" spans="1:14" x14ac:dyDescent="0.25">
      <c r="A766" t="s">
        <v>1577</v>
      </c>
      <c r="B766" s="10">
        <v>46089</v>
      </c>
      <c r="C766" t="str">
        <f t="shared" si="12"/>
        <v>March</v>
      </c>
      <c r="D766" t="s">
        <v>39</v>
      </c>
      <c r="E766" t="s">
        <v>40</v>
      </c>
      <c r="F766" t="s">
        <v>41</v>
      </c>
      <c r="G766" t="s">
        <v>22</v>
      </c>
      <c r="H766" t="s">
        <v>23</v>
      </c>
      <c r="I766" s="2">
        <v>7</v>
      </c>
      <c r="J766" s="2">
        <v>12000000</v>
      </c>
      <c r="K766" s="2">
        <v>84000000</v>
      </c>
      <c r="L766" s="3">
        <v>0</v>
      </c>
      <c r="M766" t="s">
        <v>51</v>
      </c>
      <c r="N766" t="s">
        <v>1578</v>
      </c>
    </row>
    <row r="767" spans="1:14" x14ac:dyDescent="0.25">
      <c r="A767" t="s">
        <v>1579</v>
      </c>
      <c r="B767" s="10">
        <v>46192</v>
      </c>
      <c r="C767" t="str">
        <f t="shared" si="12"/>
        <v>June</v>
      </c>
      <c r="D767" t="s">
        <v>58</v>
      </c>
      <c r="E767" t="s">
        <v>59</v>
      </c>
      <c r="F767" t="s">
        <v>28</v>
      </c>
      <c r="G767" t="s">
        <v>17</v>
      </c>
      <c r="H767" t="s">
        <v>18</v>
      </c>
      <c r="I767" s="2">
        <v>4</v>
      </c>
      <c r="J767" s="2">
        <v>5500000</v>
      </c>
      <c r="K767" s="2">
        <v>22000000</v>
      </c>
      <c r="L767" s="3">
        <v>0.15</v>
      </c>
      <c r="M767" t="s">
        <v>31</v>
      </c>
      <c r="N767" t="s">
        <v>1580</v>
      </c>
    </row>
    <row r="768" spans="1:14" x14ac:dyDescent="0.25">
      <c r="A768" t="s">
        <v>1581</v>
      </c>
      <c r="B768" s="10">
        <v>46146</v>
      </c>
      <c r="C768" t="str">
        <f t="shared" si="12"/>
        <v>May</v>
      </c>
      <c r="D768" t="s">
        <v>39</v>
      </c>
      <c r="E768" t="s">
        <v>40</v>
      </c>
      <c r="F768" t="s">
        <v>41</v>
      </c>
      <c r="G768" t="s">
        <v>29</v>
      </c>
      <c r="H768" t="s">
        <v>30</v>
      </c>
      <c r="I768" s="2">
        <v>14</v>
      </c>
      <c r="J768" s="2">
        <v>12000000</v>
      </c>
      <c r="K768" s="2">
        <v>168000000</v>
      </c>
      <c r="L768" s="3">
        <v>0.15</v>
      </c>
      <c r="M768" t="s">
        <v>31</v>
      </c>
      <c r="N768" t="s">
        <v>1582</v>
      </c>
    </row>
    <row r="769" spans="1:14" x14ac:dyDescent="0.25">
      <c r="A769" t="s">
        <v>1583</v>
      </c>
      <c r="B769" s="10">
        <v>46226</v>
      </c>
      <c r="C769" t="str">
        <f t="shared" si="12"/>
        <v>July</v>
      </c>
      <c r="D769" t="s">
        <v>39</v>
      </c>
      <c r="E769" t="s">
        <v>40</v>
      </c>
      <c r="F769" t="s">
        <v>41</v>
      </c>
      <c r="G769" t="s">
        <v>22</v>
      </c>
      <c r="H769" t="s">
        <v>23</v>
      </c>
      <c r="I769" s="2">
        <v>11</v>
      </c>
      <c r="J769" s="2">
        <v>12000000</v>
      </c>
      <c r="K769" s="2">
        <v>132000000</v>
      </c>
      <c r="L769" s="3">
        <v>0.1</v>
      </c>
      <c r="M769" t="s">
        <v>19</v>
      </c>
      <c r="N769" t="s">
        <v>1584</v>
      </c>
    </row>
    <row r="770" spans="1:14" x14ac:dyDescent="0.25">
      <c r="A770" t="s">
        <v>1585</v>
      </c>
      <c r="B770" s="10">
        <v>46198</v>
      </c>
      <c r="C770" t="str">
        <f t="shared" si="12"/>
        <v>June</v>
      </c>
      <c r="D770" t="s">
        <v>46</v>
      </c>
      <c r="E770" t="s">
        <v>47</v>
      </c>
      <c r="F770" t="s">
        <v>48</v>
      </c>
      <c r="G770" t="s">
        <v>42</v>
      </c>
      <c r="H770" t="s">
        <v>43</v>
      </c>
      <c r="I770" s="2">
        <v>10</v>
      </c>
      <c r="J770" s="2">
        <v>750000</v>
      </c>
      <c r="K770" s="2">
        <v>7500000</v>
      </c>
      <c r="L770" s="3">
        <v>0</v>
      </c>
      <c r="M770" t="s">
        <v>19</v>
      </c>
      <c r="N770" t="s">
        <v>1586</v>
      </c>
    </row>
    <row r="771" spans="1:14" x14ac:dyDescent="0.25">
      <c r="A771" t="s">
        <v>1587</v>
      </c>
      <c r="B771" s="10">
        <v>46121</v>
      </c>
      <c r="C771" t="str">
        <f t="shared" ref="C771:C834" si="13">TEXT(B771, "MMMM")</f>
        <v>April</v>
      </c>
      <c r="D771" t="s">
        <v>39</v>
      </c>
      <c r="E771" t="s">
        <v>40</v>
      </c>
      <c r="F771" t="s">
        <v>41</v>
      </c>
      <c r="G771" t="s">
        <v>17</v>
      </c>
      <c r="H771" t="s">
        <v>18</v>
      </c>
      <c r="I771" s="2">
        <v>1</v>
      </c>
      <c r="J771" s="2">
        <v>12000000</v>
      </c>
      <c r="K771" s="2">
        <v>12000000</v>
      </c>
      <c r="L771" s="3">
        <v>0.05</v>
      </c>
      <c r="M771" t="s">
        <v>31</v>
      </c>
      <c r="N771" t="s">
        <v>1588</v>
      </c>
    </row>
    <row r="772" spans="1:14" x14ac:dyDescent="0.25">
      <c r="A772" t="s">
        <v>1589</v>
      </c>
      <c r="B772" s="10">
        <v>46152</v>
      </c>
      <c r="C772" t="str">
        <f t="shared" si="13"/>
        <v>May</v>
      </c>
      <c r="D772" t="s">
        <v>34</v>
      </c>
      <c r="E772" t="s">
        <v>35</v>
      </c>
      <c r="F772" t="s">
        <v>36</v>
      </c>
      <c r="G772" t="s">
        <v>29</v>
      </c>
      <c r="H772" t="s">
        <v>30</v>
      </c>
      <c r="I772" s="2">
        <v>10</v>
      </c>
      <c r="J772" s="2">
        <v>2000000</v>
      </c>
      <c r="K772" s="2">
        <v>20000000</v>
      </c>
      <c r="L772" s="3">
        <v>0</v>
      </c>
      <c r="M772" t="s">
        <v>19</v>
      </c>
      <c r="N772" t="s">
        <v>1590</v>
      </c>
    </row>
    <row r="773" spans="1:14" x14ac:dyDescent="0.25">
      <c r="A773" t="s">
        <v>1591</v>
      </c>
      <c r="B773" s="10">
        <v>46180</v>
      </c>
      <c r="C773" t="str">
        <f t="shared" si="13"/>
        <v>June</v>
      </c>
      <c r="D773" t="s">
        <v>92</v>
      </c>
      <c r="E773" t="s">
        <v>93</v>
      </c>
      <c r="F773" t="s">
        <v>16</v>
      </c>
      <c r="G773" t="s">
        <v>22</v>
      </c>
      <c r="H773" t="s">
        <v>23</v>
      </c>
      <c r="I773" s="2">
        <v>9</v>
      </c>
      <c r="J773" s="2">
        <v>1500000</v>
      </c>
      <c r="K773" s="2">
        <v>13500000</v>
      </c>
      <c r="L773" s="3">
        <v>0</v>
      </c>
      <c r="M773" t="s">
        <v>19</v>
      </c>
      <c r="N773" t="s">
        <v>1592</v>
      </c>
    </row>
    <row r="774" spans="1:14" x14ac:dyDescent="0.25">
      <c r="A774" t="s">
        <v>1593</v>
      </c>
      <c r="B774" s="10">
        <v>46191</v>
      </c>
      <c r="C774" t="str">
        <f t="shared" si="13"/>
        <v>June</v>
      </c>
      <c r="D774" t="s">
        <v>39</v>
      </c>
      <c r="E774" t="s">
        <v>40</v>
      </c>
      <c r="F774" t="s">
        <v>41</v>
      </c>
      <c r="G774" t="s">
        <v>22</v>
      </c>
      <c r="H774" t="s">
        <v>23</v>
      </c>
      <c r="I774" s="2">
        <v>9</v>
      </c>
      <c r="J774" s="2">
        <v>12000000</v>
      </c>
      <c r="K774" s="2">
        <v>108000000</v>
      </c>
      <c r="L774" s="3">
        <v>0</v>
      </c>
      <c r="M774" t="s">
        <v>51</v>
      </c>
      <c r="N774" t="s">
        <v>1594</v>
      </c>
    </row>
    <row r="775" spans="1:14" x14ac:dyDescent="0.25">
      <c r="A775" t="s">
        <v>1595</v>
      </c>
      <c r="B775" s="10">
        <v>46133</v>
      </c>
      <c r="C775" t="str">
        <f t="shared" si="13"/>
        <v>April</v>
      </c>
      <c r="D775" t="s">
        <v>34</v>
      </c>
      <c r="E775" t="s">
        <v>35</v>
      </c>
      <c r="F775" t="s">
        <v>36</v>
      </c>
      <c r="G775" t="s">
        <v>65</v>
      </c>
      <c r="H775" t="s">
        <v>66</v>
      </c>
      <c r="I775" s="2">
        <v>14</v>
      </c>
      <c r="J775" s="2">
        <v>2000000</v>
      </c>
      <c r="K775" s="2">
        <v>28000000</v>
      </c>
      <c r="L775" s="3">
        <v>0</v>
      </c>
      <c r="M775" t="s">
        <v>51</v>
      </c>
      <c r="N775" t="s">
        <v>1596</v>
      </c>
    </row>
    <row r="776" spans="1:14" x14ac:dyDescent="0.25">
      <c r="A776" t="s">
        <v>1597</v>
      </c>
      <c r="B776" s="10">
        <v>46132</v>
      </c>
      <c r="C776" t="str">
        <f t="shared" si="13"/>
        <v>April</v>
      </c>
      <c r="D776" t="s">
        <v>26</v>
      </c>
      <c r="E776" t="s">
        <v>27</v>
      </c>
      <c r="F776" t="s">
        <v>28</v>
      </c>
      <c r="G776" t="s">
        <v>42</v>
      </c>
      <c r="H776" t="s">
        <v>43</v>
      </c>
      <c r="I776" s="2">
        <v>13</v>
      </c>
      <c r="J776" s="2">
        <v>2500000</v>
      </c>
      <c r="K776" s="2">
        <v>32500000</v>
      </c>
      <c r="L776" s="3">
        <v>0.15</v>
      </c>
      <c r="M776" t="s">
        <v>19</v>
      </c>
      <c r="N776" t="s">
        <v>1598</v>
      </c>
    </row>
    <row r="777" spans="1:14" x14ac:dyDescent="0.25">
      <c r="A777" t="s">
        <v>1599</v>
      </c>
      <c r="B777" s="10">
        <v>46228</v>
      </c>
      <c r="C777" t="str">
        <f t="shared" si="13"/>
        <v>July</v>
      </c>
      <c r="D777" t="s">
        <v>14</v>
      </c>
      <c r="E777" t="s">
        <v>15</v>
      </c>
      <c r="F777" t="s">
        <v>16</v>
      </c>
      <c r="G777" t="s">
        <v>42</v>
      </c>
      <c r="H777" t="s">
        <v>43</v>
      </c>
      <c r="I777" s="2">
        <v>3</v>
      </c>
      <c r="J777" s="2">
        <v>3500000</v>
      </c>
      <c r="K777" s="2">
        <v>10500000</v>
      </c>
      <c r="L777" s="3">
        <v>0.1</v>
      </c>
      <c r="M777" t="s">
        <v>77</v>
      </c>
      <c r="N777" t="s">
        <v>1600</v>
      </c>
    </row>
    <row r="778" spans="1:14" x14ac:dyDescent="0.25">
      <c r="A778" t="s">
        <v>1601</v>
      </c>
      <c r="B778" s="10">
        <v>46082</v>
      </c>
      <c r="C778" t="str">
        <f t="shared" si="13"/>
        <v>March</v>
      </c>
      <c r="D778" t="s">
        <v>14</v>
      </c>
      <c r="E778" t="s">
        <v>15</v>
      </c>
      <c r="F778" t="s">
        <v>16</v>
      </c>
      <c r="G778" t="s">
        <v>65</v>
      </c>
      <c r="H778" t="s">
        <v>66</v>
      </c>
      <c r="I778" s="2">
        <v>10</v>
      </c>
      <c r="J778" s="2">
        <v>3500000</v>
      </c>
      <c r="K778" s="2">
        <v>35000000</v>
      </c>
      <c r="L778" s="3">
        <v>0.15</v>
      </c>
      <c r="M778" t="s">
        <v>19</v>
      </c>
      <c r="N778" t="s">
        <v>1602</v>
      </c>
    </row>
    <row r="779" spans="1:14" x14ac:dyDescent="0.25">
      <c r="A779" t="s">
        <v>1603</v>
      </c>
      <c r="B779" s="10">
        <v>46024</v>
      </c>
      <c r="C779" t="str">
        <f t="shared" si="13"/>
        <v>January</v>
      </c>
      <c r="D779" t="s">
        <v>92</v>
      </c>
      <c r="E779" t="s">
        <v>93</v>
      </c>
      <c r="F779" t="s">
        <v>16</v>
      </c>
      <c r="G779" t="s">
        <v>22</v>
      </c>
      <c r="H779" t="s">
        <v>23</v>
      </c>
      <c r="I779" s="2">
        <v>9</v>
      </c>
      <c r="J779" s="2">
        <v>1500000</v>
      </c>
      <c r="K779" s="2">
        <v>13500000</v>
      </c>
      <c r="L779" s="3">
        <v>0</v>
      </c>
      <c r="M779" t="s">
        <v>31</v>
      </c>
      <c r="N779" t="s">
        <v>1604</v>
      </c>
    </row>
    <row r="780" spans="1:14" x14ac:dyDescent="0.25">
      <c r="A780" t="s">
        <v>1605</v>
      </c>
      <c r="B780" s="10">
        <v>46119</v>
      </c>
      <c r="C780" t="str">
        <f t="shared" si="13"/>
        <v>April</v>
      </c>
      <c r="D780" t="s">
        <v>26</v>
      </c>
      <c r="E780" t="s">
        <v>27</v>
      </c>
      <c r="F780" t="s">
        <v>28</v>
      </c>
      <c r="G780" t="s">
        <v>65</v>
      </c>
      <c r="H780" t="s">
        <v>66</v>
      </c>
      <c r="I780" s="2">
        <v>7</v>
      </c>
      <c r="J780" s="2">
        <v>2500000</v>
      </c>
      <c r="K780" s="2">
        <v>17500000</v>
      </c>
      <c r="L780" s="3">
        <v>0.1</v>
      </c>
      <c r="M780" t="s">
        <v>19</v>
      </c>
      <c r="N780" t="s">
        <v>1606</v>
      </c>
    </row>
    <row r="781" spans="1:14" x14ac:dyDescent="0.25">
      <c r="A781" t="s">
        <v>1607</v>
      </c>
      <c r="B781" s="10">
        <v>46132</v>
      </c>
      <c r="C781" t="str">
        <f t="shared" si="13"/>
        <v>April</v>
      </c>
      <c r="D781" t="s">
        <v>58</v>
      </c>
      <c r="E781" t="s">
        <v>59</v>
      </c>
      <c r="F781" t="s">
        <v>28</v>
      </c>
      <c r="G781" t="s">
        <v>65</v>
      </c>
      <c r="H781" t="s">
        <v>66</v>
      </c>
      <c r="I781" s="2">
        <v>14</v>
      </c>
      <c r="J781" s="2">
        <v>5500000</v>
      </c>
      <c r="K781" s="2">
        <v>77000000</v>
      </c>
      <c r="L781" s="3">
        <v>0.15</v>
      </c>
      <c r="M781" t="s">
        <v>31</v>
      </c>
      <c r="N781" t="s">
        <v>1608</v>
      </c>
    </row>
    <row r="782" spans="1:14" x14ac:dyDescent="0.25">
      <c r="A782" t="s">
        <v>1609</v>
      </c>
      <c r="B782" s="10">
        <v>46179</v>
      </c>
      <c r="C782" t="str">
        <f t="shared" si="13"/>
        <v>June</v>
      </c>
      <c r="D782" t="s">
        <v>58</v>
      </c>
      <c r="E782" t="s">
        <v>59</v>
      </c>
      <c r="F782" t="s">
        <v>28</v>
      </c>
      <c r="G782" t="s">
        <v>42</v>
      </c>
      <c r="H782" t="s">
        <v>43</v>
      </c>
      <c r="I782" s="2">
        <v>13</v>
      </c>
      <c r="J782" s="2">
        <v>5500000</v>
      </c>
      <c r="K782" s="2">
        <v>71500000</v>
      </c>
      <c r="L782" s="3">
        <v>0.05</v>
      </c>
      <c r="M782" t="s">
        <v>77</v>
      </c>
      <c r="N782" t="s">
        <v>1610</v>
      </c>
    </row>
    <row r="783" spans="1:14" x14ac:dyDescent="0.25">
      <c r="A783" t="s">
        <v>1611</v>
      </c>
      <c r="B783" s="10">
        <v>46223</v>
      </c>
      <c r="C783" t="str">
        <f t="shared" si="13"/>
        <v>July</v>
      </c>
      <c r="D783" t="s">
        <v>62</v>
      </c>
      <c r="E783" t="s">
        <v>63</v>
      </c>
      <c r="F783" t="s">
        <v>64</v>
      </c>
      <c r="G783" t="s">
        <v>29</v>
      </c>
      <c r="H783" t="s">
        <v>30</v>
      </c>
      <c r="I783" s="2">
        <v>6</v>
      </c>
      <c r="J783" s="2">
        <v>4000000</v>
      </c>
      <c r="K783" s="2">
        <v>24000000</v>
      </c>
      <c r="L783" s="3">
        <v>0.15</v>
      </c>
      <c r="M783" t="s">
        <v>19</v>
      </c>
      <c r="N783" t="s">
        <v>1612</v>
      </c>
    </row>
    <row r="784" spans="1:14" x14ac:dyDescent="0.25">
      <c r="A784" t="s">
        <v>1613</v>
      </c>
      <c r="B784" s="10">
        <v>46170</v>
      </c>
      <c r="C784" t="str">
        <f t="shared" si="13"/>
        <v>May</v>
      </c>
      <c r="D784" t="s">
        <v>46</v>
      </c>
      <c r="E784" t="s">
        <v>47</v>
      </c>
      <c r="F784" t="s">
        <v>48</v>
      </c>
      <c r="G784" t="s">
        <v>42</v>
      </c>
      <c r="H784" t="s">
        <v>43</v>
      </c>
      <c r="I784" s="2">
        <v>12</v>
      </c>
      <c r="J784" s="2">
        <v>750000</v>
      </c>
      <c r="K784" s="2">
        <v>9000000</v>
      </c>
      <c r="L784" s="3">
        <v>0.05</v>
      </c>
      <c r="M784" t="s">
        <v>51</v>
      </c>
      <c r="N784" t="s">
        <v>1614</v>
      </c>
    </row>
    <row r="785" spans="1:14" x14ac:dyDescent="0.25">
      <c r="A785" t="s">
        <v>1615</v>
      </c>
      <c r="B785" s="10">
        <v>46214</v>
      </c>
      <c r="C785" t="str">
        <f t="shared" si="13"/>
        <v>July</v>
      </c>
      <c r="D785" t="s">
        <v>26</v>
      </c>
      <c r="E785" t="s">
        <v>27</v>
      </c>
      <c r="F785" t="s">
        <v>28</v>
      </c>
      <c r="G785" t="s">
        <v>42</v>
      </c>
      <c r="H785" t="s">
        <v>43</v>
      </c>
      <c r="I785" s="2">
        <v>13</v>
      </c>
      <c r="J785" s="2">
        <v>2500000</v>
      </c>
      <c r="K785" s="2">
        <v>32500000</v>
      </c>
      <c r="L785" s="3">
        <v>0.05</v>
      </c>
      <c r="M785" t="s">
        <v>19</v>
      </c>
      <c r="N785" t="s">
        <v>1616</v>
      </c>
    </row>
    <row r="786" spans="1:14" x14ac:dyDescent="0.25">
      <c r="A786" t="s">
        <v>1617</v>
      </c>
      <c r="B786" s="10">
        <v>46153</v>
      </c>
      <c r="C786" t="str">
        <f t="shared" si="13"/>
        <v>May</v>
      </c>
      <c r="D786" t="s">
        <v>34</v>
      </c>
      <c r="E786" t="s">
        <v>35</v>
      </c>
      <c r="F786" t="s">
        <v>36</v>
      </c>
      <c r="G786" t="s">
        <v>65</v>
      </c>
      <c r="H786" t="s">
        <v>66</v>
      </c>
      <c r="I786" s="2">
        <v>13</v>
      </c>
      <c r="J786" s="2">
        <v>2000000</v>
      </c>
      <c r="K786" s="2">
        <v>26000000</v>
      </c>
      <c r="L786" s="3">
        <v>0</v>
      </c>
      <c r="M786" t="s">
        <v>19</v>
      </c>
      <c r="N786" t="s">
        <v>1618</v>
      </c>
    </row>
    <row r="787" spans="1:14" x14ac:dyDescent="0.25">
      <c r="A787" t="s">
        <v>1619</v>
      </c>
      <c r="B787" s="10">
        <v>46185</v>
      </c>
      <c r="C787" t="str">
        <f t="shared" si="13"/>
        <v>June</v>
      </c>
      <c r="D787" t="s">
        <v>92</v>
      </c>
      <c r="E787" t="s">
        <v>93</v>
      </c>
      <c r="F787" t="s">
        <v>16</v>
      </c>
      <c r="G787" t="s">
        <v>17</v>
      </c>
      <c r="H787" t="s">
        <v>18</v>
      </c>
      <c r="I787" s="2">
        <v>14</v>
      </c>
      <c r="J787" s="2">
        <v>1500000</v>
      </c>
      <c r="K787" s="2">
        <v>21000000</v>
      </c>
      <c r="L787" s="3">
        <v>0.05</v>
      </c>
      <c r="M787" t="s">
        <v>77</v>
      </c>
      <c r="N787" t="s">
        <v>1620</v>
      </c>
    </row>
    <row r="788" spans="1:14" x14ac:dyDescent="0.25">
      <c r="A788" t="s">
        <v>1621</v>
      </c>
      <c r="B788" s="10">
        <v>46134</v>
      </c>
      <c r="C788" t="str">
        <f t="shared" si="13"/>
        <v>April</v>
      </c>
      <c r="D788" t="s">
        <v>14</v>
      </c>
      <c r="E788" t="s">
        <v>15</v>
      </c>
      <c r="F788" t="s">
        <v>16</v>
      </c>
      <c r="G788" t="s">
        <v>17</v>
      </c>
      <c r="H788" t="s">
        <v>18</v>
      </c>
      <c r="I788" s="2">
        <v>5</v>
      </c>
      <c r="J788" s="2">
        <v>3500000</v>
      </c>
      <c r="K788" s="2">
        <v>17500000</v>
      </c>
      <c r="L788" s="3">
        <v>0.05</v>
      </c>
      <c r="M788" t="s">
        <v>19</v>
      </c>
      <c r="N788" t="s">
        <v>1622</v>
      </c>
    </row>
    <row r="789" spans="1:14" x14ac:dyDescent="0.25">
      <c r="A789" t="s">
        <v>1623</v>
      </c>
      <c r="B789" s="10">
        <v>46178</v>
      </c>
      <c r="C789" t="str">
        <f t="shared" si="13"/>
        <v>June</v>
      </c>
      <c r="D789" t="s">
        <v>92</v>
      </c>
      <c r="E789" t="s">
        <v>93</v>
      </c>
      <c r="F789" t="s">
        <v>16</v>
      </c>
      <c r="G789" t="s">
        <v>42</v>
      </c>
      <c r="H789" t="s">
        <v>43</v>
      </c>
      <c r="I789" s="2">
        <v>15</v>
      </c>
      <c r="J789" s="2">
        <v>1500000</v>
      </c>
      <c r="K789" s="2">
        <v>22500000</v>
      </c>
      <c r="L789" s="3">
        <v>0.15</v>
      </c>
      <c r="M789" t="s">
        <v>31</v>
      </c>
      <c r="N789" t="s">
        <v>1624</v>
      </c>
    </row>
    <row r="790" spans="1:14" x14ac:dyDescent="0.25">
      <c r="A790" t="s">
        <v>1625</v>
      </c>
      <c r="B790" s="10">
        <v>46156</v>
      </c>
      <c r="C790" t="str">
        <f t="shared" si="13"/>
        <v>May</v>
      </c>
      <c r="D790" t="s">
        <v>58</v>
      </c>
      <c r="E790" t="s">
        <v>59</v>
      </c>
      <c r="F790" t="s">
        <v>28</v>
      </c>
      <c r="G790" t="s">
        <v>22</v>
      </c>
      <c r="H790" t="s">
        <v>23</v>
      </c>
      <c r="I790" s="2">
        <v>1</v>
      </c>
      <c r="J790" s="2">
        <v>5500000</v>
      </c>
      <c r="K790" s="2">
        <v>5500000</v>
      </c>
      <c r="L790" s="3">
        <v>0.05</v>
      </c>
      <c r="M790" t="s">
        <v>51</v>
      </c>
      <c r="N790" t="s">
        <v>1626</v>
      </c>
    </row>
    <row r="791" spans="1:14" x14ac:dyDescent="0.25">
      <c r="A791" t="s">
        <v>1627</v>
      </c>
      <c r="B791" s="10">
        <v>46135</v>
      </c>
      <c r="C791" t="str">
        <f t="shared" si="13"/>
        <v>April</v>
      </c>
      <c r="D791" t="s">
        <v>92</v>
      </c>
      <c r="E791" t="s">
        <v>93</v>
      </c>
      <c r="F791" t="s">
        <v>16</v>
      </c>
      <c r="G791" t="s">
        <v>29</v>
      </c>
      <c r="H791" t="s">
        <v>30</v>
      </c>
      <c r="I791" s="2">
        <v>14</v>
      </c>
      <c r="J791" s="2">
        <v>1500000</v>
      </c>
      <c r="K791" s="2">
        <v>21000000</v>
      </c>
      <c r="L791" s="3">
        <v>0.1</v>
      </c>
      <c r="M791" t="s">
        <v>19</v>
      </c>
      <c r="N791" t="s">
        <v>1628</v>
      </c>
    </row>
    <row r="792" spans="1:14" x14ac:dyDescent="0.25">
      <c r="A792" t="s">
        <v>1629</v>
      </c>
      <c r="B792" s="10">
        <v>46223</v>
      </c>
      <c r="C792" t="str">
        <f t="shared" si="13"/>
        <v>July</v>
      </c>
      <c r="D792" t="s">
        <v>26</v>
      </c>
      <c r="E792" t="s">
        <v>27</v>
      </c>
      <c r="F792" t="s">
        <v>28</v>
      </c>
      <c r="G792" t="s">
        <v>22</v>
      </c>
      <c r="H792" t="s">
        <v>23</v>
      </c>
      <c r="I792" s="2">
        <v>3</v>
      </c>
      <c r="J792" s="2">
        <v>2500000</v>
      </c>
      <c r="K792" s="2">
        <v>7500000</v>
      </c>
      <c r="L792" s="3">
        <v>0</v>
      </c>
      <c r="M792" t="s">
        <v>19</v>
      </c>
      <c r="N792" t="s">
        <v>1630</v>
      </c>
    </row>
    <row r="793" spans="1:14" x14ac:dyDescent="0.25">
      <c r="A793" t="s">
        <v>1631</v>
      </c>
      <c r="B793" s="10">
        <v>46190</v>
      </c>
      <c r="C793" t="str">
        <f t="shared" si="13"/>
        <v>June</v>
      </c>
      <c r="D793" t="s">
        <v>92</v>
      </c>
      <c r="E793" t="s">
        <v>93</v>
      </c>
      <c r="F793" t="s">
        <v>16</v>
      </c>
      <c r="G793" t="s">
        <v>29</v>
      </c>
      <c r="H793" t="s">
        <v>30</v>
      </c>
      <c r="I793" s="2">
        <v>2</v>
      </c>
      <c r="J793" s="2">
        <v>1500000</v>
      </c>
      <c r="K793" s="2">
        <v>3000000</v>
      </c>
      <c r="L793" s="3">
        <v>0.1</v>
      </c>
      <c r="M793" t="s">
        <v>77</v>
      </c>
      <c r="N793" t="s">
        <v>1632</v>
      </c>
    </row>
    <row r="794" spans="1:14" x14ac:dyDescent="0.25">
      <c r="A794" t="s">
        <v>1633</v>
      </c>
      <c r="B794" s="10">
        <v>46194</v>
      </c>
      <c r="C794" t="str">
        <f t="shared" si="13"/>
        <v>June</v>
      </c>
      <c r="D794" t="s">
        <v>34</v>
      </c>
      <c r="E794" t="s">
        <v>35</v>
      </c>
      <c r="F794" t="s">
        <v>36</v>
      </c>
      <c r="G794" t="s">
        <v>42</v>
      </c>
      <c r="H794" t="s">
        <v>43</v>
      </c>
      <c r="I794" s="2">
        <v>10</v>
      </c>
      <c r="J794" s="2">
        <v>2000000</v>
      </c>
      <c r="K794" s="2">
        <v>20000000</v>
      </c>
      <c r="L794" s="3">
        <v>0.05</v>
      </c>
      <c r="M794" t="s">
        <v>31</v>
      </c>
      <c r="N794" t="s">
        <v>1634</v>
      </c>
    </row>
    <row r="795" spans="1:14" x14ac:dyDescent="0.25">
      <c r="A795" t="s">
        <v>1635</v>
      </c>
      <c r="B795" s="10">
        <v>46211</v>
      </c>
      <c r="C795" t="str">
        <f t="shared" si="13"/>
        <v>July</v>
      </c>
      <c r="D795" t="s">
        <v>14</v>
      </c>
      <c r="E795" t="s">
        <v>15</v>
      </c>
      <c r="F795" t="s">
        <v>16</v>
      </c>
      <c r="G795" t="s">
        <v>17</v>
      </c>
      <c r="H795" t="s">
        <v>18</v>
      </c>
      <c r="I795" s="2">
        <v>9</v>
      </c>
      <c r="J795" s="2">
        <v>3500000</v>
      </c>
      <c r="K795" s="2">
        <v>31500000</v>
      </c>
      <c r="L795" s="3">
        <v>0.1</v>
      </c>
      <c r="M795" t="s">
        <v>51</v>
      </c>
      <c r="N795" t="s">
        <v>1636</v>
      </c>
    </row>
    <row r="796" spans="1:14" x14ac:dyDescent="0.25">
      <c r="A796" t="s">
        <v>1637</v>
      </c>
      <c r="B796" s="10">
        <v>46166</v>
      </c>
      <c r="C796" t="str">
        <f t="shared" si="13"/>
        <v>May</v>
      </c>
      <c r="D796" t="s">
        <v>46</v>
      </c>
      <c r="E796" t="s">
        <v>47</v>
      </c>
      <c r="F796" t="s">
        <v>48</v>
      </c>
      <c r="G796" t="s">
        <v>65</v>
      </c>
      <c r="H796" t="s">
        <v>66</v>
      </c>
      <c r="I796" s="2">
        <v>14</v>
      </c>
      <c r="J796" s="2">
        <v>750000</v>
      </c>
      <c r="K796" s="2">
        <v>10500000</v>
      </c>
      <c r="L796" s="3">
        <v>0.1</v>
      </c>
      <c r="M796" t="s">
        <v>19</v>
      </c>
      <c r="N796" t="s">
        <v>1638</v>
      </c>
    </row>
    <row r="797" spans="1:14" x14ac:dyDescent="0.25">
      <c r="A797" t="s">
        <v>1639</v>
      </c>
      <c r="B797" s="10">
        <v>46072</v>
      </c>
      <c r="C797" t="str">
        <f t="shared" si="13"/>
        <v>February</v>
      </c>
      <c r="D797" t="s">
        <v>62</v>
      </c>
      <c r="E797" t="s">
        <v>63</v>
      </c>
      <c r="F797" t="s">
        <v>64</v>
      </c>
      <c r="G797" t="s">
        <v>42</v>
      </c>
      <c r="H797" t="s">
        <v>43</v>
      </c>
      <c r="I797" s="2">
        <v>10</v>
      </c>
      <c r="J797" s="2">
        <v>4000000</v>
      </c>
      <c r="K797" s="2">
        <v>40000000</v>
      </c>
      <c r="L797" s="3">
        <v>0</v>
      </c>
      <c r="M797" t="s">
        <v>19</v>
      </c>
      <c r="N797" t="s">
        <v>1640</v>
      </c>
    </row>
    <row r="798" spans="1:14" x14ac:dyDescent="0.25">
      <c r="A798" t="s">
        <v>1641</v>
      </c>
      <c r="B798" s="10">
        <v>46127</v>
      </c>
      <c r="C798" t="str">
        <f t="shared" si="13"/>
        <v>April</v>
      </c>
      <c r="D798" t="s">
        <v>14</v>
      </c>
      <c r="E798" t="s">
        <v>15</v>
      </c>
      <c r="F798" t="s">
        <v>16</v>
      </c>
      <c r="G798" t="s">
        <v>22</v>
      </c>
      <c r="H798" t="s">
        <v>23</v>
      </c>
      <c r="I798" s="2">
        <v>2</v>
      </c>
      <c r="J798" s="2">
        <v>3500000</v>
      </c>
      <c r="K798" s="2">
        <v>7000000</v>
      </c>
      <c r="L798" s="3">
        <v>0.1</v>
      </c>
      <c r="M798" t="s">
        <v>19</v>
      </c>
      <c r="N798" t="s">
        <v>1642</v>
      </c>
    </row>
    <row r="799" spans="1:14" x14ac:dyDescent="0.25">
      <c r="A799" t="s">
        <v>1643</v>
      </c>
      <c r="B799" s="10">
        <v>46228</v>
      </c>
      <c r="C799" t="str">
        <f t="shared" si="13"/>
        <v>July</v>
      </c>
      <c r="D799" t="s">
        <v>58</v>
      </c>
      <c r="E799" t="s">
        <v>59</v>
      </c>
      <c r="F799" t="s">
        <v>28</v>
      </c>
      <c r="G799" t="s">
        <v>22</v>
      </c>
      <c r="H799" t="s">
        <v>23</v>
      </c>
      <c r="I799" s="2">
        <v>14</v>
      </c>
      <c r="J799" s="2">
        <v>5500000</v>
      </c>
      <c r="K799" s="2">
        <v>77000000</v>
      </c>
      <c r="L799" s="3">
        <v>0.1</v>
      </c>
      <c r="M799" t="s">
        <v>51</v>
      </c>
      <c r="N799" t="s">
        <v>1644</v>
      </c>
    </row>
    <row r="800" spans="1:14" x14ac:dyDescent="0.25">
      <c r="A800" t="s">
        <v>1645</v>
      </c>
      <c r="B800" s="10">
        <v>46119</v>
      </c>
      <c r="C800" t="str">
        <f t="shared" si="13"/>
        <v>April</v>
      </c>
      <c r="D800" t="s">
        <v>62</v>
      </c>
      <c r="E800" t="s">
        <v>63</v>
      </c>
      <c r="F800" t="s">
        <v>64</v>
      </c>
      <c r="G800" t="s">
        <v>29</v>
      </c>
      <c r="H800" t="s">
        <v>30</v>
      </c>
      <c r="I800" s="2">
        <v>13</v>
      </c>
      <c r="J800" s="2">
        <v>4000000</v>
      </c>
      <c r="K800" s="2">
        <v>52000000</v>
      </c>
      <c r="L800" s="3">
        <v>0.1</v>
      </c>
      <c r="M800" t="s">
        <v>77</v>
      </c>
      <c r="N800" t="s">
        <v>1646</v>
      </c>
    </row>
    <row r="801" spans="1:14" x14ac:dyDescent="0.25">
      <c r="A801" t="s">
        <v>1647</v>
      </c>
      <c r="B801" s="10">
        <v>46140</v>
      </c>
      <c r="C801" t="str">
        <f t="shared" si="13"/>
        <v>April</v>
      </c>
      <c r="D801" t="s">
        <v>92</v>
      </c>
      <c r="E801" t="s">
        <v>93</v>
      </c>
      <c r="F801" t="s">
        <v>16</v>
      </c>
      <c r="G801" t="s">
        <v>42</v>
      </c>
      <c r="H801" t="s">
        <v>43</v>
      </c>
      <c r="I801" s="2">
        <v>2</v>
      </c>
      <c r="J801" s="2">
        <v>1500000</v>
      </c>
      <c r="K801" s="2">
        <v>3000000</v>
      </c>
      <c r="L801" s="3">
        <v>0.1</v>
      </c>
      <c r="M801" t="s">
        <v>19</v>
      </c>
      <c r="N801" t="s">
        <v>1648</v>
      </c>
    </row>
    <row r="802" spans="1:14" x14ac:dyDescent="0.25">
      <c r="A802" t="s">
        <v>1649</v>
      </c>
      <c r="B802" s="10">
        <v>46185</v>
      </c>
      <c r="C802" t="str">
        <f t="shared" si="13"/>
        <v>June</v>
      </c>
      <c r="D802" t="s">
        <v>26</v>
      </c>
      <c r="E802" t="s">
        <v>27</v>
      </c>
      <c r="F802" t="s">
        <v>28</v>
      </c>
      <c r="G802" t="s">
        <v>29</v>
      </c>
      <c r="H802" t="s">
        <v>30</v>
      </c>
      <c r="I802" s="2">
        <v>13</v>
      </c>
      <c r="J802" s="2">
        <v>2500000</v>
      </c>
      <c r="K802" s="2">
        <v>32500000</v>
      </c>
      <c r="L802" s="3">
        <v>0.1</v>
      </c>
      <c r="M802" t="s">
        <v>77</v>
      </c>
      <c r="N802" t="s">
        <v>1650</v>
      </c>
    </row>
    <row r="803" spans="1:14" x14ac:dyDescent="0.25">
      <c r="A803" t="s">
        <v>1651</v>
      </c>
      <c r="B803" s="10">
        <v>46155</v>
      </c>
      <c r="C803" t="str">
        <f t="shared" si="13"/>
        <v>May</v>
      </c>
      <c r="D803" t="s">
        <v>92</v>
      </c>
      <c r="E803" t="s">
        <v>93</v>
      </c>
      <c r="F803" t="s">
        <v>16</v>
      </c>
      <c r="G803" t="s">
        <v>65</v>
      </c>
      <c r="H803" t="s">
        <v>66</v>
      </c>
      <c r="I803" s="2">
        <v>4</v>
      </c>
      <c r="J803" s="2">
        <v>1500000</v>
      </c>
      <c r="K803" s="2">
        <v>6000000</v>
      </c>
      <c r="L803" s="3">
        <v>0.1</v>
      </c>
      <c r="M803" t="s">
        <v>19</v>
      </c>
      <c r="N803" t="s">
        <v>1652</v>
      </c>
    </row>
    <row r="804" spans="1:14" x14ac:dyDescent="0.25">
      <c r="A804" t="s">
        <v>1653</v>
      </c>
      <c r="B804" s="10">
        <v>46195</v>
      </c>
      <c r="C804" t="str">
        <f t="shared" si="13"/>
        <v>June</v>
      </c>
      <c r="D804" t="s">
        <v>46</v>
      </c>
      <c r="E804" t="s">
        <v>47</v>
      </c>
      <c r="F804" t="s">
        <v>48</v>
      </c>
      <c r="G804" t="s">
        <v>17</v>
      </c>
      <c r="H804" t="s">
        <v>18</v>
      </c>
      <c r="I804" s="2">
        <v>9</v>
      </c>
      <c r="J804" s="2">
        <v>750000</v>
      </c>
      <c r="K804" s="2">
        <v>6750000</v>
      </c>
      <c r="L804" s="3">
        <v>0.05</v>
      </c>
      <c r="M804" t="s">
        <v>77</v>
      </c>
      <c r="N804" t="s">
        <v>1654</v>
      </c>
    </row>
    <row r="805" spans="1:14" x14ac:dyDescent="0.25">
      <c r="A805" t="s">
        <v>1655</v>
      </c>
      <c r="B805" s="10">
        <v>46113</v>
      </c>
      <c r="C805" t="str">
        <f t="shared" si="13"/>
        <v>April</v>
      </c>
      <c r="D805" t="s">
        <v>26</v>
      </c>
      <c r="E805" t="s">
        <v>27</v>
      </c>
      <c r="F805" t="s">
        <v>28</v>
      </c>
      <c r="G805" t="s">
        <v>22</v>
      </c>
      <c r="H805" t="s">
        <v>23</v>
      </c>
      <c r="I805" s="2">
        <v>5</v>
      </c>
      <c r="J805" s="2">
        <v>2500000</v>
      </c>
      <c r="K805" s="2">
        <v>12500000</v>
      </c>
      <c r="L805" s="3">
        <v>0.05</v>
      </c>
      <c r="M805" t="s">
        <v>51</v>
      </c>
      <c r="N805" t="s">
        <v>1656</v>
      </c>
    </row>
    <row r="806" spans="1:14" x14ac:dyDescent="0.25">
      <c r="A806" t="s">
        <v>1657</v>
      </c>
      <c r="B806" s="10">
        <v>46071</v>
      </c>
      <c r="C806" t="str">
        <f t="shared" si="13"/>
        <v>February</v>
      </c>
      <c r="D806" t="s">
        <v>62</v>
      </c>
      <c r="E806" t="s">
        <v>63</v>
      </c>
      <c r="F806" t="s">
        <v>64</v>
      </c>
      <c r="G806" t="s">
        <v>29</v>
      </c>
      <c r="H806" t="s">
        <v>30</v>
      </c>
      <c r="I806" s="2">
        <v>4</v>
      </c>
      <c r="J806" s="2">
        <v>4000000</v>
      </c>
      <c r="K806" s="2">
        <v>16000000</v>
      </c>
      <c r="L806" s="3">
        <v>0.05</v>
      </c>
      <c r="M806" t="s">
        <v>19</v>
      </c>
      <c r="N806" t="s">
        <v>1658</v>
      </c>
    </row>
    <row r="807" spans="1:14" x14ac:dyDescent="0.25">
      <c r="A807" t="s">
        <v>1659</v>
      </c>
      <c r="B807" s="10">
        <v>46081</v>
      </c>
      <c r="C807" t="str">
        <f t="shared" si="13"/>
        <v>February</v>
      </c>
      <c r="D807" t="s">
        <v>26</v>
      </c>
      <c r="E807" t="s">
        <v>27</v>
      </c>
      <c r="F807" t="s">
        <v>28</v>
      </c>
      <c r="G807" t="s">
        <v>29</v>
      </c>
      <c r="H807" t="s">
        <v>30</v>
      </c>
      <c r="I807" s="2">
        <v>14</v>
      </c>
      <c r="J807" s="2">
        <v>2500000</v>
      </c>
      <c r="K807" s="2">
        <v>35000000</v>
      </c>
      <c r="L807" s="3">
        <v>0.1</v>
      </c>
      <c r="M807" t="s">
        <v>19</v>
      </c>
      <c r="N807" t="s">
        <v>1660</v>
      </c>
    </row>
    <row r="808" spans="1:14" x14ac:dyDescent="0.25">
      <c r="A808" t="s">
        <v>1661</v>
      </c>
      <c r="B808" s="10">
        <v>46050</v>
      </c>
      <c r="C808" t="str">
        <f t="shared" si="13"/>
        <v>January</v>
      </c>
      <c r="D808" t="s">
        <v>14</v>
      </c>
      <c r="E808" t="s">
        <v>15</v>
      </c>
      <c r="F808" t="s">
        <v>16</v>
      </c>
      <c r="G808" t="s">
        <v>17</v>
      </c>
      <c r="H808" t="s">
        <v>18</v>
      </c>
      <c r="I808" s="2">
        <v>11</v>
      </c>
      <c r="J808" s="2">
        <v>3500000</v>
      </c>
      <c r="K808" s="2">
        <v>38500000</v>
      </c>
      <c r="L808" s="3">
        <v>0.15</v>
      </c>
      <c r="M808" t="s">
        <v>31</v>
      </c>
      <c r="N808" t="s">
        <v>1662</v>
      </c>
    </row>
    <row r="809" spans="1:14" x14ac:dyDescent="0.25">
      <c r="A809" t="s">
        <v>1663</v>
      </c>
      <c r="B809" s="10">
        <v>46218</v>
      </c>
      <c r="C809" t="str">
        <f t="shared" si="13"/>
        <v>July</v>
      </c>
      <c r="D809" t="s">
        <v>92</v>
      </c>
      <c r="E809" t="s">
        <v>93</v>
      </c>
      <c r="F809" t="s">
        <v>16</v>
      </c>
      <c r="G809" t="s">
        <v>42</v>
      </c>
      <c r="H809" t="s">
        <v>43</v>
      </c>
      <c r="I809" s="2">
        <v>6</v>
      </c>
      <c r="J809" s="2">
        <v>1500000</v>
      </c>
      <c r="K809" s="2">
        <v>9000000</v>
      </c>
      <c r="L809" s="3">
        <v>0.1</v>
      </c>
      <c r="M809" t="s">
        <v>77</v>
      </c>
      <c r="N809" t="s">
        <v>1664</v>
      </c>
    </row>
    <row r="810" spans="1:14" x14ac:dyDescent="0.25">
      <c r="A810" t="s">
        <v>1665</v>
      </c>
      <c r="B810" s="10">
        <v>46093</v>
      </c>
      <c r="C810" t="str">
        <f t="shared" si="13"/>
        <v>March</v>
      </c>
      <c r="D810" t="s">
        <v>62</v>
      </c>
      <c r="E810" t="s">
        <v>63</v>
      </c>
      <c r="F810" t="s">
        <v>64</v>
      </c>
      <c r="G810" t="s">
        <v>29</v>
      </c>
      <c r="H810" t="s">
        <v>30</v>
      </c>
      <c r="I810" s="2">
        <v>13</v>
      </c>
      <c r="J810" s="2">
        <v>4000000</v>
      </c>
      <c r="K810" s="2">
        <v>52000000</v>
      </c>
      <c r="L810" s="3">
        <v>0.1</v>
      </c>
      <c r="M810" t="s">
        <v>77</v>
      </c>
      <c r="N810" t="s">
        <v>1666</v>
      </c>
    </row>
    <row r="811" spans="1:14" x14ac:dyDescent="0.25">
      <c r="A811" t="s">
        <v>1667</v>
      </c>
      <c r="B811" s="10">
        <v>46215</v>
      </c>
      <c r="C811" t="str">
        <f t="shared" si="13"/>
        <v>July</v>
      </c>
      <c r="D811" t="s">
        <v>39</v>
      </c>
      <c r="E811" t="s">
        <v>40</v>
      </c>
      <c r="F811" t="s">
        <v>41</v>
      </c>
      <c r="G811" t="s">
        <v>17</v>
      </c>
      <c r="H811" t="s">
        <v>18</v>
      </c>
      <c r="I811" s="2">
        <v>9</v>
      </c>
      <c r="J811" s="2">
        <v>12000000</v>
      </c>
      <c r="K811" s="2">
        <v>108000000</v>
      </c>
      <c r="L811" s="3">
        <v>0.15</v>
      </c>
      <c r="M811" t="s">
        <v>77</v>
      </c>
      <c r="N811" t="s">
        <v>1668</v>
      </c>
    </row>
    <row r="812" spans="1:14" x14ac:dyDescent="0.25">
      <c r="A812" t="s">
        <v>1669</v>
      </c>
      <c r="B812" s="10">
        <v>46031</v>
      </c>
      <c r="C812" t="str">
        <f t="shared" si="13"/>
        <v>January</v>
      </c>
      <c r="D812" t="s">
        <v>46</v>
      </c>
      <c r="E812" t="s">
        <v>47</v>
      </c>
      <c r="F812" t="s">
        <v>48</v>
      </c>
      <c r="G812" t="s">
        <v>42</v>
      </c>
      <c r="H812" t="s">
        <v>43</v>
      </c>
      <c r="I812" s="2">
        <v>14</v>
      </c>
      <c r="J812" s="2">
        <v>750000</v>
      </c>
      <c r="K812" s="2">
        <v>10500000</v>
      </c>
      <c r="L812" s="3">
        <v>0.05</v>
      </c>
      <c r="M812" t="s">
        <v>77</v>
      </c>
      <c r="N812" t="s">
        <v>1670</v>
      </c>
    </row>
    <row r="813" spans="1:14" x14ac:dyDescent="0.25">
      <c r="A813" t="s">
        <v>1671</v>
      </c>
      <c r="B813" s="10">
        <v>46201</v>
      </c>
      <c r="C813" t="str">
        <f t="shared" si="13"/>
        <v>June</v>
      </c>
      <c r="D813" t="s">
        <v>62</v>
      </c>
      <c r="E813" t="s">
        <v>63</v>
      </c>
      <c r="F813" t="s">
        <v>64</v>
      </c>
      <c r="G813" t="s">
        <v>65</v>
      </c>
      <c r="H813" t="s">
        <v>66</v>
      </c>
      <c r="I813" s="2">
        <v>12</v>
      </c>
      <c r="J813" s="2">
        <v>4000000</v>
      </c>
      <c r="K813" s="2">
        <v>48000000</v>
      </c>
      <c r="L813" s="3">
        <v>0</v>
      </c>
      <c r="M813" t="s">
        <v>19</v>
      </c>
      <c r="N813" t="s">
        <v>1672</v>
      </c>
    </row>
    <row r="814" spans="1:14" x14ac:dyDescent="0.25">
      <c r="A814" t="s">
        <v>1673</v>
      </c>
      <c r="B814" s="10">
        <v>46076</v>
      </c>
      <c r="C814" t="str">
        <f t="shared" si="13"/>
        <v>February</v>
      </c>
      <c r="D814" t="s">
        <v>34</v>
      </c>
      <c r="E814" t="s">
        <v>35</v>
      </c>
      <c r="F814" t="s">
        <v>36</v>
      </c>
      <c r="G814" t="s">
        <v>22</v>
      </c>
      <c r="H814" t="s">
        <v>23</v>
      </c>
      <c r="I814" s="2">
        <v>2</v>
      </c>
      <c r="J814" s="2">
        <v>2000000</v>
      </c>
      <c r="K814" s="2">
        <v>4000000</v>
      </c>
      <c r="L814" s="3">
        <v>0.1</v>
      </c>
      <c r="M814" t="s">
        <v>19</v>
      </c>
      <c r="N814" t="s">
        <v>1674</v>
      </c>
    </row>
    <row r="815" spans="1:14" x14ac:dyDescent="0.25">
      <c r="A815" t="s">
        <v>1675</v>
      </c>
      <c r="B815" s="10">
        <v>46243</v>
      </c>
      <c r="C815" t="str">
        <f t="shared" si="13"/>
        <v>August</v>
      </c>
      <c r="D815" t="s">
        <v>58</v>
      </c>
      <c r="E815" t="s">
        <v>59</v>
      </c>
      <c r="F815" t="s">
        <v>28</v>
      </c>
      <c r="G815" t="s">
        <v>29</v>
      </c>
      <c r="H815" t="s">
        <v>30</v>
      </c>
      <c r="I815" s="2">
        <v>9</v>
      </c>
      <c r="J815" s="2">
        <v>5500000</v>
      </c>
      <c r="K815" s="2">
        <v>49500000</v>
      </c>
      <c r="L815" s="3">
        <v>0.1</v>
      </c>
      <c r="M815" t="s">
        <v>19</v>
      </c>
      <c r="N815" t="s">
        <v>1676</v>
      </c>
    </row>
    <row r="816" spans="1:14" x14ac:dyDescent="0.25">
      <c r="A816" t="s">
        <v>1677</v>
      </c>
      <c r="B816" s="10">
        <v>46143</v>
      </c>
      <c r="C816" t="str">
        <f t="shared" si="13"/>
        <v>May</v>
      </c>
      <c r="D816" t="s">
        <v>46</v>
      </c>
      <c r="E816" t="s">
        <v>47</v>
      </c>
      <c r="F816" t="s">
        <v>48</v>
      </c>
      <c r="G816" t="s">
        <v>65</v>
      </c>
      <c r="H816" t="s">
        <v>66</v>
      </c>
      <c r="I816" s="2">
        <v>3</v>
      </c>
      <c r="J816" s="2">
        <v>750000</v>
      </c>
      <c r="K816" s="2">
        <v>2250000</v>
      </c>
      <c r="L816" s="3">
        <v>0.15</v>
      </c>
      <c r="M816" t="s">
        <v>77</v>
      </c>
      <c r="N816" t="s">
        <v>1678</v>
      </c>
    </row>
    <row r="817" spans="1:14" x14ac:dyDescent="0.25">
      <c r="A817" t="s">
        <v>1679</v>
      </c>
      <c r="B817" s="10">
        <v>46130</v>
      </c>
      <c r="C817" t="str">
        <f t="shared" si="13"/>
        <v>April</v>
      </c>
      <c r="D817" t="s">
        <v>46</v>
      </c>
      <c r="E817" t="s">
        <v>47</v>
      </c>
      <c r="F817" t="s">
        <v>48</v>
      </c>
      <c r="G817" t="s">
        <v>65</v>
      </c>
      <c r="H817" t="s">
        <v>66</v>
      </c>
      <c r="I817" s="2">
        <v>14</v>
      </c>
      <c r="J817" s="2">
        <v>750000</v>
      </c>
      <c r="K817" s="2">
        <v>10500000</v>
      </c>
      <c r="L817" s="3">
        <v>0.15</v>
      </c>
      <c r="M817" t="s">
        <v>19</v>
      </c>
      <c r="N817" t="s">
        <v>1680</v>
      </c>
    </row>
    <row r="818" spans="1:14" x14ac:dyDescent="0.25">
      <c r="A818" t="s">
        <v>1681</v>
      </c>
      <c r="B818" s="10">
        <v>46069</v>
      </c>
      <c r="C818" t="str">
        <f t="shared" si="13"/>
        <v>February</v>
      </c>
      <c r="D818" t="s">
        <v>39</v>
      </c>
      <c r="E818" t="s">
        <v>40</v>
      </c>
      <c r="F818" t="s">
        <v>41</v>
      </c>
      <c r="G818" t="s">
        <v>22</v>
      </c>
      <c r="H818" t="s">
        <v>23</v>
      </c>
      <c r="I818" s="2">
        <v>11</v>
      </c>
      <c r="J818" s="2">
        <v>12000000</v>
      </c>
      <c r="K818" s="2">
        <v>132000000</v>
      </c>
      <c r="L818" s="3">
        <v>0.05</v>
      </c>
      <c r="M818" t="s">
        <v>19</v>
      </c>
      <c r="N818" t="s">
        <v>1682</v>
      </c>
    </row>
    <row r="819" spans="1:14" x14ac:dyDescent="0.25">
      <c r="A819" t="s">
        <v>1683</v>
      </c>
      <c r="B819" s="10">
        <v>46092</v>
      </c>
      <c r="C819" t="str">
        <f t="shared" si="13"/>
        <v>March</v>
      </c>
      <c r="D819" t="s">
        <v>26</v>
      </c>
      <c r="E819" t="s">
        <v>27</v>
      </c>
      <c r="F819" t="s">
        <v>28</v>
      </c>
      <c r="G819" t="s">
        <v>22</v>
      </c>
      <c r="H819" t="s">
        <v>23</v>
      </c>
      <c r="I819" s="2">
        <v>7</v>
      </c>
      <c r="J819" s="2">
        <v>2500000</v>
      </c>
      <c r="K819" s="2">
        <v>17500000</v>
      </c>
      <c r="L819" s="3">
        <v>0.15</v>
      </c>
      <c r="M819" t="s">
        <v>19</v>
      </c>
      <c r="N819" t="s">
        <v>1684</v>
      </c>
    </row>
    <row r="820" spans="1:14" x14ac:dyDescent="0.25">
      <c r="A820" t="s">
        <v>1685</v>
      </c>
      <c r="B820" s="10">
        <v>46227</v>
      </c>
      <c r="C820" t="str">
        <f t="shared" si="13"/>
        <v>July</v>
      </c>
      <c r="D820" t="s">
        <v>39</v>
      </c>
      <c r="E820" t="s">
        <v>40</v>
      </c>
      <c r="F820" t="s">
        <v>41</v>
      </c>
      <c r="G820" t="s">
        <v>42</v>
      </c>
      <c r="H820" t="s">
        <v>43</v>
      </c>
      <c r="I820" s="2">
        <v>13</v>
      </c>
      <c r="J820" s="2">
        <v>12000000</v>
      </c>
      <c r="K820" s="2">
        <v>156000000</v>
      </c>
      <c r="L820" s="3">
        <v>0</v>
      </c>
      <c r="M820" t="s">
        <v>19</v>
      </c>
      <c r="N820" t="s">
        <v>1686</v>
      </c>
    </row>
    <row r="821" spans="1:14" x14ac:dyDescent="0.25">
      <c r="A821" t="s">
        <v>1687</v>
      </c>
      <c r="B821" s="10">
        <v>46150</v>
      </c>
      <c r="C821" t="str">
        <f t="shared" si="13"/>
        <v>May</v>
      </c>
      <c r="D821" t="s">
        <v>39</v>
      </c>
      <c r="E821" t="s">
        <v>40</v>
      </c>
      <c r="F821" t="s">
        <v>41</v>
      </c>
      <c r="G821" t="s">
        <v>22</v>
      </c>
      <c r="H821" t="s">
        <v>23</v>
      </c>
      <c r="I821" s="2">
        <v>9</v>
      </c>
      <c r="J821" s="2">
        <v>12000000</v>
      </c>
      <c r="K821" s="2">
        <v>108000000</v>
      </c>
      <c r="L821" s="3">
        <v>0.1</v>
      </c>
      <c r="M821" t="s">
        <v>77</v>
      </c>
      <c r="N821" t="s">
        <v>1688</v>
      </c>
    </row>
    <row r="822" spans="1:14" x14ac:dyDescent="0.25">
      <c r="A822" t="s">
        <v>1689</v>
      </c>
      <c r="B822" s="10">
        <v>46087</v>
      </c>
      <c r="C822" t="str">
        <f t="shared" si="13"/>
        <v>March</v>
      </c>
      <c r="D822" t="s">
        <v>92</v>
      </c>
      <c r="E822" t="s">
        <v>93</v>
      </c>
      <c r="F822" t="s">
        <v>16</v>
      </c>
      <c r="G822" t="s">
        <v>42</v>
      </c>
      <c r="H822" t="s">
        <v>43</v>
      </c>
      <c r="I822" s="2">
        <v>2</v>
      </c>
      <c r="J822" s="2">
        <v>1500000</v>
      </c>
      <c r="K822" s="2">
        <v>3000000</v>
      </c>
      <c r="L822" s="3">
        <v>0.05</v>
      </c>
      <c r="M822" t="s">
        <v>19</v>
      </c>
      <c r="N822" t="s">
        <v>1690</v>
      </c>
    </row>
    <row r="823" spans="1:14" x14ac:dyDescent="0.25">
      <c r="A823" t="s">
        <v>1691</v>
      </c>
      <c r="B823" s="10">
        <v>46231</v>
      </c>
      <c r="C823" t="str">
        <f t="shared" si="13"/>
        <v>July</v>
      </c>
      <c r="D823" t="s">
        <v>58</v>
      </c>
      <c r="E823" t="s">
        <v>59</v>
      </c>
      <c r="F823" t="s">
        <v>28</v>
      </c>
      <c r="G823" t="s">
        <v>42</v>
      </c>
      <c r="H823" t="s">
        <v>43</v>
      </c>
      <c r="I823" s="2">
        <v>14</v>
      </c>
      <c r="J823" s="2">
        <v>5500000</v>
      </c>
      <c r="K823" s="2">
        <v>77000000</v>
      </c>
      <c r="L823" s="3">
        <v>0</v>
      </c>
      <c r="M823" t="s">
        <v>77</v>
      </c>
      <c r="N823" t="s">
        <v>1692</v>
      </c>
    </row>
    <row r="824" spans="1:14" x14ac:dyDescent="0.25">
      <c r="A824" t="s">
        <v>1693</v>
      </c>
      <c r="B824" s="10">
        <v>46108</v>
      </c>
      <c r="C824" t="str">
        <f t="shared" si="13"/>
        <v>March</v>
      </c>
      <c r="D824" t="s">
        <v>58</v>
      </c>
      <c r="E824" t="s">
        <v>59</v>
      </c>
      <c r="F824" t="s">
        <v>28</v>
      </c>
      <c r="G824" t="s">
        <v>65</v>
      </c>
      <c r="H824" t="s">
        <v>66</v>
      </c>
      <c r="I824" s="2">
        <v>6</v>
      </c>
      <c r="J824" s="2">
        <v>5500000</v>
      </c>
      <c r="K824" s="2">
        <v>33000000</v>
      </c>
      <c r="L824" s="3">
        <v>0.1</v>
      </c>
      <c r="M824" t="s">
        <v>19</v>
      </c>
      <c r="N824" t="s">
        <v>1694</v>
      </c>
    </row>
    <row r="825" spans="1:14" x14ac:dyDescent="0.25">
      <c r="A825" t="s">
        <v>1695</v>
      </c>
      <c r="B825" s="10">
        <v>46128</v>
      </c>
      <c r="C825" t="str">
        <f t="shared" si="13"/>
        <v>April</v>
      </c>
      <c r="D825" t="s">
        <v>14</v>
      </c>
      <c r="E825" t="s">
        <v>15</v>
      </c>
      <c r="F825" t="s">
        <v>16</v>
      </c>
      <c r="G825" t="s">
        <v>65</v>
      </c>
      <c r="H825" t="s">
        <v>66</v>
      </c>
      <c r="I825" s="2">
        <v>14</v>
      </c>
      <c r="J825" s="2">
        <v>3500000</v>
      </c>
      <c r="K825" s="2">
        <v>49000000</v>
      </c>
      <c r="L825" s="3">
        <v>0.05</v>
      </c>
      <c r="M825" t="s">
        <v>31</v>
      </c>
      <c r="N825" t="s">
        <v>1696</v>
      </c>
    </row>
    <row r="826" spans="1:14" x14ac:dyDescent="0.25">
      <c r="A826" t="s">
        <v>1697</v>
      </c>
      <c r="B826" s="10">
        <v>46189</v>
      </c>
      <c r="C826" t="str">
        <f t="shared" si="13"/>
        <v>June</v>
      </c>
      <c r="D826" t="s">
        <v>39</v>
      </c>
      <c r="E826" t="s">
        <v>40</v>
      </c>
      <c r="F826" t="s">
        <v>41</v>
      </c>
      <c r="G826" t="s">
        <v>65</v>
      </c>
      <c r="H826" t="s">
        <v>66</v>
      </c>
      <c r="I826" s="2">
        <v>6</v>
      </c>
      <c r="J826" s="2">
        <v>12000000</v>
      </c>
      <c r="K826" s="2">
        <v>72000000</v>
      </c>
      <c r="L826" s="3">
        <v>0.1</v>
      </c>
      <c r="M826" t="s">
        <v>51</v>
      </c>
      <c r="N826" t="s">
        <v>1698</v>
      </c>
    </row>
    <row r="827" spans="1:14" x14ac:dyDescent="0.25">
      <c r="A827" t="s">
        <v>1699</v>
      </c>
      <c r="B827" s="10">
        <v>46147</v>
      </c>
      <c r="C827" t="str">
        <f t="shared" si="13"/>
        <v>May</v>
      </c>
      <c r="D827" t="s">
        <v>62</v>
      </c>
      <c r="E827" t="s">
        <v>63</v>
      </c>
      <c r="F827" t="s">
        <v>64</v>
      </c>
      <c r="G827" t="s">
        <v>17</v>
      </c>
      <c r="H827" t="s">
        <v>18</v>
      </c>
      <c r="I827" s="2">
        <v>7</v>
      </c>
      <c r="J827" s="2">
        <v>4000000</v>
      </c>
      <c r="K827" s="2">
        <v>28000000</v>
      </c>
      <c r="L827" s="3">
        <v>0.1</v>
      </c>
      <c r="M827" t="s">
        <v>77</v>
      </c>
      <c r="N827" t="s">
        <v>1700</v>
      </c>
    </row>
    <row r="828" spans="1:14" x14ac:dyDescent="0.25">
      <c r="A828" t="s">
        <v>1701</v>
      </c>
      <c r="B828" s="10">
        <v>46060</v>
      </c>
      <c r="C828" t="str">
        <f t="shared" si="13"/>
        <v>February</v>
      </c>
      <c r="D828" t="s">
        <v>39</v>
      </c>
      <c r="E828" t="s">
        <v>40</v>
      </c>
      <c r="F828" t="s">
        <v>41</v>
      </c>
      <c r="G828" t="s">
        <v>65</v>
      </c>
      <c r="H828" t="s">
        <v>66</v>
      </c>
      <c r="I828" s="2">
        <v>7</v>
      </c>
      <c r="J828" s="2">
        <v>12000000</v>
      </c>
      <c r="K828" s="2">
        <v>84000000</v>
      </c>
      <c r="L828" s="3">
        <v>0.15</v>
      </c>
      <c r="M828" t="s">
        <v>19</v>
      </c>
      <c r="N828" t="s">
        <v>1702</v>
      </c>
    </row>
    <row r="829" spans="1:14" x14ac:dyDescent="0.25">
      <c r="A829" t="s">
        <v>1703</v>
      </c>
      <c r="B829" s="10">
        <v>46064</v>
      </c>
      <c r="C829" t="str">
        <f t="shared" si="13"/>
        <v>February</v>
      </c>
      <c r="D829" t="s">
        <v>46</v>
      </c>
      <c r="E829" t="s">
        <v>47</v>
      </c>
      <c r="F829" t="s">
        <v>48</v>
      </c>
      <c r="G829" t="s">
        <v>29</v>
      </c>
      <c r="H829" t="s">
        <v>30</v>
      </c>
      <c r="I829" s="2">
        <v>6</v>
      </c>
      <c r="J829" s="2">
        <v>750000</v>
      </c>
      <c r="K829" s="2">
        <v>4500000</v>
      </c>
      <c r="L829" s="3">
        <v>0.1</v>
      </c>
      <c r="M829" t="s">
        <v>51</v>
      </c>
      <c r="N829" t="s">
        <v>1704</v>
      </c>
    </row>
    <row r="830" spans="1:14" x14ac:dyDescent="0.25">
      <c r="A830" t="s">
        <v>1705</v>
      </c>
      <c r="B830" s="10">
        <v>46204</v>
      </c>
      <c r="C830" t="str">
        <f t="shared" si="13"/>
        <v>July</v>
      </c>
      <c r="D830" t="s">
        <v>58</v>
      </c>
      <c r="E830" t="s">
        <v>59</v>
      </c>
      <c r="F830" t="s">
        <v>28</v>
      </c>
      <c r="G830" t="s">
        <v>22</v>
      </c>
      <c r="H830" t="s">
        <v>23</v>
      </c>
      <c r="I830" s="2">
        <v>11</v>
      </c>
      <c r="J830" s="2">
        <v>5500000</v>
      </c>
      <c r="K830" s="2">
        <v>60500000</v>
      </c>
      <c r="L830" s="3">
        <v>0.15</v>
      </c>
      <c r="M830" t="s">
        <v>19</v>
      </c>
      <c r="N830" t="s">
        <v>1706</v>
      </c>
    </row>
    <row r="831" spans="1:14" x14ac:dyDescent="0.25">
      <c r="A831" t="s">
        <v>1707</v>
      </c>
      <c r="B831" s="10">
        <v>46222</v>
      </c>
      <c r="C831" t="str">
        <f t="shared" si="13"/>
        <v>July</v>
      </c>
      <c r="D831" t="s">
        <v>46</v>
      </c>
      <c r="E831" t="s">
        <v>47</v>
      </c>
      <c r="F831" t="s">
        <v>48</v>
      </c>
      <c r="G831" t="s">
        <v>22</v>
      </c>
      <c r="H831" t="s">
        <v>23</v>
      </c>
      <c r="I831" s="2">
        <v>9</v>
      </c>
      <c r="J831" s="2">
        <v>750000</v>
      </c>
      <c r="K831" s="2">
        <v>6750000</v>
      </c>
      <c r="L831" s="3">
        <v>0.15</v>
      </c>
      <c r="M831" t="s">
        <v>77</v>
      </c>
      <c r="N831" t="s">
        <v>1708</v>
      </c>
    </row>
    <row r="832" spans="1:14" x14ac:dyDescent="0.25">
      <c r="A832" t="s">
        <v>1709</v>
      </c>
      <c r="B832" s="10">
        <v>46070</v>
      </c>
      <c r="C832" t="str">
        <f t="shared" si="13"/>
        <v>February</v>
      </c>
      <c r="D832" t="s">
        <v>92</v>
      </c>
      <c r="E832" t="s">
        <v>93</v>
      </c>
      <c r="F832" t="s">
        <v>16</v>
      </c>
      <c r="G832" t="s">
        <v>29</v>
      </c>
      <c r="H832" t="s">
        <v>30</v>
      </c>
      <c r="I832" s="2">
        <v>12</v>
      </c>
      <c r="J832" s="2">
        <v>1500000</v>
      </c>
      <c r="K832" s="2">
        <v>18000000</v>
      </c>
      <c r="L832" s="3">
        <v>0.05</v>
      </c>
      <c r="M832" t="s">
        <v>51</v>
      </c>
      <c r="N832" t="s">
        <v>1710</v>
      </c>
    </row>
    <row r="833" spans="1:14" x14ac:dyDescent="0.25">
      <c r="A833" t="s">
        <v>1711</v>
      </c>
      <c r="B833" s="10">
        <v>46213</v>
      </c>
      <c r="C833" t="str">
        <f t="shared" si="13"/>
        <v>July</v>
      </c>
      <c r="D833" t="s">
        <v>14</v>
      </c>
      <c r="E833" t="s">
        <v>15</v>
      </c>
      <c r="F833" t="s">
        <v>16</v>
      </c>
      <c r="G833" t="s">
        <v>29</v>
      </c>
      <c r="H833" t="s">
        <v>30</v>
      </c>
      <c r="I833" s="2">
        <v>3</v>
      </c>
      <c r="J833" s="2">
        <v>3500000</v>
      </c>
      <c r="K833" s="2">
        <v>10500000</v>
      </c>
      <c r="L833" s="3">
        <v>0.15</v>
      </c>
      <c r="M833" t="s">
        <v>19</v>
      </c>
      <c r="N833" t="s">
        <v>1712</v>
      </c>
    </row>
    <row r="834" spans="1:14" x14ac:dyDescent="0.25">
      <c r="A834" t="s">
        <v>1713</v>
      </c>
      <c r="B834" s="10">
        <v>46039</v>
      </c>
      <c r="C834" t="str">
        <f t="shared" si="13"/>
        <v>January</v>
      </c>
      <c r="D834" t="s">
        <v>62</v>
      </c>
      <c r="E834" t="s">
        <v>63</v>
      </c>
      <c r="F834" t="s">
        <v>64</v>
      </c>
      <c r="G834" t="s">
        <v>22</v>
      </c>
      <c r="H834" t="s">
        <v>23</v>
      </c>
      <c r="I834" s="2">
        <v>1</v>
      </c>
      <c r="J834" s="2">
        <v>4000000</v>
      </c>
      <c r="K834" s="2">
        <v>4000000</v>
      </c>
      <c r="L834" s="3">
        <v>0</v>
      </c>
      <c r="M834" t="s">
        <v>77</v>
      </c>
      <c r="N834" t="s">
        <v>1714</v>
      </c>
    </row>
    <row r="835" spans="1:14" x14ac:dyDescent="0.25">
      <c r="A835" t="s">
        <v>1715</v>
      </c>
      <c r="B835" s="10">
        <v>46218</v>
      </c>
      <c r="C835" t="str">
        <f t="shared" ref="C835:C898" si="14">TEXT(B835, "MMMM")</f>
        <v>July</v>
      </c>
      <c r="D835" t="s">
        <v>14</v>
      </c>
      <c r="E835" t="s">
        <v>15</v>
      </c>
      <c r="F835" t="s">
        <v>16</v>
      </c>
      <c r="G835" t="s">
        <v>17</v>
      </c>
      <c r="H835" t="s">
        <v>18</v>
      </c>
      <c r="I835" s="2">
        <v>5</v>
      </c>
      <c r="J835" s="2">
        <v>3500000</v>
      </c>
      <c r="K835" s="2">
        <v>17500000</v>
      </c>
      <c r="L835" s="3">
        <v>0.05</v>
      </c>
      <c r="M835" t="s">
        <v>19</v>
      </c>
      <c r="N835" t="s">
        <v>1716</v>
      </c>
    </row>
    <row r="836" spans="1:14" x14ac:dyDescent="0.25">
      <c r="A836" t="s">
        <v>1717</v>
      </c>
      <c r="B836" s="10">
        <v>46122</v>
      </c>
      <c r="C836" t="str">
        <f t="shared" si="14"/>
        <v>April</v>
      </c>
      <c r="D836" t="s">
        <v>58</v>
      </c>
      <c r="E836" t="s">
        <v>59</v>
      </c>
      <c r="F836" t="s">
        <v>28</v>
      </c>
      <c r="G836" t="s">
        <v>29</v>
      </c>
      <c r="H836" t="s">
        <v>30</v>
      </c>
      <c r="I836" s="2">
        <v>4</v>
      </c>
      <c r="J836" s="2">
        <v>5500000</v>
      </c>
      <c r="K836" s="2">
        <v>22000000</v>
      </c>
      <c r="L836" s="3">
        <v>0.1</v>
      </c>
      <c r="M836" t="s">
        <v>77</v>
      </c>
      <c r="N836" t="s">
        <v>1718</v>
      </c>
    </row>
    <row r="837" spans="1:14" x14ac:dyDescent="0.25">
      <c r="A837" t="s">
        <v>1719</v>
      </c>
      <c r="B837" s="10">
        <v>46055</v>
      </c>
      <c r="C837" t="str">
        <f t="shared" si="14"/>
        <v>February</v>
      </c>
      <c r="D837" t="s">
        <v>39</v>
      </c>
      <c r="E837" t="s">
        <v>40</v>
      </c>
      <c r="F837" t="s">
        <v>41</v>
      </c>
      <c r="G837" t="s">
        <v>22</v>
      </c>
      <c r="H837" t="s">
        <v>23</v>
      </c>
      <c r="I837" s="2">
        <v>14</v>
      </c>
      <c r="J837" s="2">
        <v>12000000</v>
      </c>
      <c r="K837" s="2">
        <v>168000000</v>
      </c>
      <c r="L837" s="3">
        <v>0.05</v>
      </c>
      <c r="M837" t="s">
        <v>19</v>
      </c>
      <c r="N837" t="s">
        <v>1720</v>
      </c>
    </row>
    <row r="838" spans="1:14" x14ac:dyDescent="0.25">
      <c r="A838" t="s">
        <v>1721</v>
      </c>
      <c r="B838" s="10">
        <v>46192</v>
      </c>
      <c r="C838" t="str">
        <f t="shared" si="14"/>
        <v>June</v>
      </c>
      <c r="D838" t="s">
        <v>46</v>
      </c>
      <c r="E838" t="s">
        <v>47</v>
      </c>
      <c r="F838" t="s">
        <v>48</v>
      </c>
      <c r="G838" t="s">
        <v>65</v>
      </c>
      <c r="H838" t="s">
        <v>66</v>
      </c>
      <c r="I838" s="2">
        <v>14</v>
      </c>
      <c r="J838" s="2">
        <v>750000</v>
      </c>
      <c r="K838" s="2">
        <v>10500000</v>
      </c>
      <c r="L838" s="3">
        <v>0.15</v>
      </c>
      <c r="M838" t="s">
        <v>77</v>
      </c>
      <c r="N838" t="s">
        <v>1722</v>
      </c>
    </row>
    <row r="839" spans="1:14" x14ac:dyDescent="0.25">
      <c r="A839" t="s">
        <v>1723</v>
      </c>
      <c r="B839" s="10">
        <v>46161</v>
      </c>
      <c r="C839" t="str">
        <f t="shared" si="14"/>
        <v>May</v>
      </c>
      <c r="D839" t="s">
        <v>58</v>
      </c>
      <c r="E839" t="s">
        <v>59</v>
      </c>
      <c r="F839" t="s">
        <v>28</v>
      </c>
      <c r="G839" t="s">
        <v>22</v>
      </c>
      <c r="H839" t="s">
        <v>23</v>
      </c>
      <c r="I839" s="2">
        <v>8</v>
      </c>
      <c r="J839" s="2">
        <v>5500000</v>
      </c>
      <c r="K839" s="2">
        <v>44000000</v>
      </c>
      <c r="L839" s="3">
        <v>0.05</v>
      </c>
      <c r="M839" t="s">
        <v>51</v>
      </c>
      <c r="N839" t="s">
        <v>1724</v>
      </c>
    </row>
    <row r="840" spans="1:14" x14ac:dyDescent="0.25">
      <c r="A840" t="s">
        <v>1725</v>
      </c>
      <c r="B840" s="10">
        <v>46068</v>
      </c>
      <c r="C840" t="str">
        <f t="shared" si="14"/>
        <v>February</v>
      </c>
      <c r="D840" t="s">
        <v>62</v>
      </c>
      <c r="E840" t="s">
        <v>63</v>
      </c>
      <c r="F840" t="s">
        <v>64</v>
      </c>
      <c r="G840" t="s">
        <v>22</v>
      </c>
      <c r="H840" t="s">
        <v>23</v>
      </c>
      <c r="I840" s="2">
        <v>7</v>
      </c>
      <c r="J840" s="2">
        <v>4000000</v>
      </c>
      <c r="K840" s="2">
        <v>28000000</v>
      </c>
      <c r="L840" s="3">
        <v>0.1</v>
      </c>
      <c r="M840" t="s">
        <v>19</v>
      </c>
      <c r="N840" t="s">
        <v>1726</v>
      </c>
    </row>
    <row r="841" spans="1:14" x14ac:dyDescent="0.25">
      <c r="A841" t="s">
        <v>1727</v>
      </c>
      <c r="B841" s="10">
        <v>46161</v>
      </c>
      <c r="C841" t="str">
        <f t="shared" si="14"/>
        <v>May</v>
      </c>
      <c r="D841" t="s">
        <v>26</v>
      </c>
      <c r="E841" t="s">
        <v>27</v>
      </c>
      <c r="F841" t="s">
        <v>28</v>
      </c>
      <c r="G841" t="s">
        <v>17</v>
      </c>
      <c r="H841" t="s">
        <v>18</v>
      </c>
      <c r="I841" s="2">
        <v>8</v>
      </c>
      <c r="J841" s="2">
        <v>2500000</v>
      </c>
      <c r="K841" s="2">
        <v>20000000</v>
      </c>
      <c r="L841" s="3">
        <v>0.1</v>
      </c>
      <c r="M841" t="s">
        <v>19</v>
      </c>
      <c r="N841" t="s">
        <v>1728</v>
      </c>
    </row>
    <row r="842" spans="1:14" x14ac:dyDescent="0.25">
      <c r="A842" t="s">
        <v>1729</v>
      </c>
      <c r="B842" s="10">
        <v>46089</v>
      </c>
      <c r="C842" t="str">
        <f t="shared" si="14"/>
        <v>March</v>
      </c>
      <c r="D842" t="s">
        <v>39</v>
      </c>
      <c r="E842" t="s">
        <v>40</v>
      </c>
      <c r="F842" t="s">
        <v>41</v>
      </c>
      <c r="G842" t="s">
        <v>65</v>
      </c>
      <c r="H842" t="s">
        <v>66</v>
      </c>
      <c r="I842" s="2">
        <v>1</v>
      </c>
      <c r="J842" s="2">
        <v>12000000</v>
      </c>
      <c r="K842" s="2">
        <v>12000000</v>
      </c>
      <c r="L842" s="3">
        <v>0</v>
      </c>
      <c r="M842" t="s">
        <v>31</v>
      </c>
      <c r="N842" t="s">
        <v>1730</v>
      </c>
    </row>
    <row r="843" spans="1:14" x14ac:dyDescent="0.25">
      <c r="A843" t="s">
        <v>1731</v>
      </c>
      <c r="B843" s="10">
        <v>46217</v>
      </c>
      <c r="C843" t="str">
        <f t="shared" si="14"/>
        <v>July</v>
      </c>
      <c r="D843" t="s">
        <v>39</v>
      </c>
      <c r="E843" t="s">
        <v>40</v>
      </c>
      <c r="F843" t="s">
        <v>41</v>
      </c>
      <c r="G843" t="s">
        <v>65</v>
      </c>
      <c r="H843" t="s">
        <v>66</v>
      </c>
      <c r="I843" s="2">
        <v>5</v>
      </c>
      <c r="J843" s="2">
        <v>12000000</v>
      </c>
      <c r="K843" s="2">
        <v>60000000</v>
      </c>
      <c r="L843" s="3">
        <v>0.15</v>
      </c>
      <c r="M843" t="s">
        <v>31</v>
      </c>
      <c r="N843" t="s">
        <v>1732</v>
      </c>
    </row>
    <row r="844" spans="1:14" x14ac:dyDescent="0.25">
      <c r="A844" t="s">
        <v>1733</v>
      </c>
      <c r="B844" s="10">
        <v>46199</v>
      </c>
      <c r="C844" t="str">
        <f t="shared" si="14"/>
        <v>June</v>
      </c>
      <c r="D844" t="s">
        <v>62</v>
      </c>
      <c r="E844" t="s">
        <v>63</v>
      </c>
      <c r="F844" t="s">
        <v>64</v>
      </c>
      <c r="G844" t="s">
        <v>42</v>
      </c>
      <c r="H844" t="s">
        <v>43</v>
      </c>
      <c r="I844" s="2">
        <v>5</v>
      </c>
      <c r="J844" s="2">
        <v>4000000</v>
      </c>
      <c r="K844" s="2">
        <v>20000000</v>
      </c>
      <c r="L844" s="3">
        <v>0</v>
      </c>
      <c r="M844" t="s">
        <v>77</v>
      </c>
      <c r="N844" t="s">
        <v>1734</v>
      </c>
    </row>
    <row r="845" spans="1:14" x14ac:dyDescent="0.25">
      <c r="A845" t="s">
        <v>1735</v>
      </c>
      <c r="B845" s="10">
        <v>46097</v>
      </c>
      <c r="C845" t="str">
        <f t="shared" si="14"/>
        <v>March</v>
      </c>
      <c r="D845" t="s">
        <v>26</v>
      </c>
      <c r="E845" t="s">
        <v>27</v>
      </c>
      <c r="F845" t="s">
        <v>28</v>
      </c>
      <c r="G845" t="s">
        <v>17</v>
      </c>
      <c r="H845" t="s">
        <v>18</v>
      </c>
      <c r="I845" s="2">
        <v>9</v>
      </c>
      <c r="J845" s="2">
        <v>2500000</v>
      </c>
      <c r="K845" s="2">
        <v>22500000</v>
      </c>
      <c r="L845" s="3">
        <v>0.1</v>
      </c>
      <c r="M845" t="s">
        <v>19</v>
      </c>
      <c r="N845" t="s">
        <v>1736</v>
      </c>
    </row>
    <row r="846" spans="1:14" x14ac:dyDescent="0.25">
      <c r="A846" t="s">
        <v>1737</v>
      </c>
      <c r="B846" s="10">
        <v>46166</v>
      </c>
      <c r="C846" t="str">
        <f t="shared" si="14"/>
        <v>May</v>
      </c>
      <c r="D846" t="s">
        <v>34</v>
      </c>
      <c r="E846" t="s">
        <v>35</v>
      </c>
      <c r="F846" t="s">
        <v>36</v>
      </c>
      <c r="G846" t="s">
        <v>42</v>
      </c>
      <c r="H846" t="s">
        <v>43</v>
      </c>
      <c r="I846" s="2">
        <v>4</v>
      </c>
      <c r="J846" s="2">
        <v>2000000</v>
      </c>
      <c r="K846" s="2">
        <v>8000000</v>
      </c>
      <c r="L846" s="3">
        <v>0.05</v>
      </c>
      <c r="M846" t="s">
        <v>51</v>
      </c>
      <c r="N846" t="s">
        <v>1738</v>
      </c>
    </row>
    <row r="847" spans="1:14" x14ac:dyDescent="0.25">
      <c r="A847" t="s">
        <v>1739</v>
      </c>
      <c r="B847" s="10">
        <v>46188</v>
      </c>
      <c r="C847" t="str">
        <f t="shared" si="14"/>
        <v>June</v>
      </c>
      <c r="D847" t="s">
        <v>34</v>
      </c>
      <c r="E847" t="s">
        <v>35</v>
      </c>
      <c r="F847" t="s">
        <v>36</v>
      </c>
      <c r="G847" t="s">
        <v>42</v>
      </c>
      <c r="H847" t="s">
        <v>43</v>
      </c>
      <c r="I847" s="2">
        <v>4</v>
      </c>
      <c r="J847" s="2">
        <v>2000000</v>
      </c>
      <c r="K847" s="2">
        <v>8000000</v>
      </c>
      <c r="L847" s="3">
        <v>0.1</v>
      </c>
      <c r="M847" t="s">
        <v>19</v>
      </c>
      <c r="N847" t="s">
        <v>1740</v>
      </c>
    </row>
    <row r="848" spans="1:14" x14ac:dyDescent="0.25">
      <c r="A848" t="s">
        <v>1741</v>
      </c>
      <c r="B848" s="10">
        <v>46183</v>
      </c>
      <c r="C848" t="str">
        <f t="shared" si="14"/>
        <v>June</v>
      </c>
      <c r="D848" t="s">
        <v>26</v>
      </c>
      <c r="E848" t="s">
        <v>27</v>
      </c>
      <c r="F848" t="s">
        <v>28</v>
      </c>
      <c r="G848" t="s">
        <v>22</v>
      </c>
      <c r="H848" t="s">
        <v>23</v>
      </c>
      <c r="I848" s="2">
        <v>13</v>
      </c>
      <c r="J848" s="2">
        <v>2500000</v>
      </c>
      <c r="K848" s="2">
        <v>32500000</v>
      </c>
      <c r="L848" s="3">
        <v>0.1</v>
      </c>
      <c r="M848" t="s">
        <v>19</v>
      </c>
      <c r="N848" t="s">
        <v>1742</v>
      </c>
    </row>
    <row r="849" spans="1:14" x14ac:dyDescent="0.25">
      <c r="A849" t="s">
        <v>1743</v>
      </c>
      <c r="B849" s="10">
        <v>46213</v>
      </c>
      <c r="C849" t="str">
        <f t="shared" si="14"/>
        <v>July</v>
      </c>
      <c r="D849" t="s">
        <v>58</v>
      </c>
      <c r="E849" t="s">
        <v>59</v>
      </c>
      <c r="F849" t="s">
        <v>28</v>
      </c>
      <c r="G849" t="s">
        <v>42</v>
      </c>
      <c r="H849" t="s">
        <v>43</v>
      </c>
      <c r="I849" s="2">
        <v>4</v>
      </c>
      <c r="J849" s="2">
        <v>5500000</v>
      </c>
      <c r="K849" s="2">
        <v>22000000</v>
      </c>
      <c r="L849" s="3">
        <v>0</v>
      </c>
      <c r="M849" t="s">
        <v>19</v>
      </c>
      <c r="N849" t="s">
        <v>1744</v>
      </c>
    </row>
    <row r="850" spans="1:14" x14ac:dyDescent="0.25">
      <c r="A850" t="s">
        <v>1745</v>
      </c>
      <c r="B850" s="10">
        <v>46097</v>
      </c>
      <c r="C850" t="str">
        <f t="shared" si="14"/>
        <v>March</v>
      </c>
      <c r="D850" t="s">
        <v>14</v>
      </c>
      <c r="E850" t="s">
        <v>15</v>
      </c>
      <c r="F850" t="s">
        <v>16</v>
      </c>
      <c r="G850" t="s">
        <v>42</v>
      </c>
      <c r="H850" t="s">
        <v>43</v>
      </c>
      <c r="I850" s="2">
        <v>10</v>
      </c>
      <c r="J850" s="2">
        <v>3500000</v>
      </c>
      <c r="K850" s="2">
        <v>35000000</v>
      </c>
      <c r="L850" s="3">
        <v>0.15</v>
      </c>
      <c r="M850" t="s">
        <v>19</v>
      </c>
      <c r="N850" t="s">
        <v>1746</v>
      </c>
    </row>
    <row r="851" spans="1:14" x14ac:dyDescent="0.25">
      <c r="A851" t="s">
        <v>1747</v>
      </c>
      <c r="B851" s="10">
        <v>46182</v>
      </c>
      <c r="C851" t="str">
        <f t="shared" si="14"/>
        <v>June</v>
      </c>
      <c r="D851" t="s">
        <v>62</v>
      </c>
      <c r="E851" t="s">
        <v>63</v>
      </c>
      <c r="F851" t="s">
        <v>64</v>
      </c>
      <c r="G851" t="s">
        <v>29</v>
      </c>
      <c r="H851" t="s">
        <v>30</v>
      </c>
      <c r="I851" s="2">
        <v>6</v>
      </c>
      <c r="J851" s="2">
        <v>4000000</v>
      </c>
      <c r="K851" s="2">
        <v>24000000</v>
      </c>
      <c r="L851" s="3">
        <v>0</v>
      </c>
      <c r="M851" t="s">
        <v>19</v>
      </c>
      <c r="N851" t="s">
        <v>1748</v>
      </c>
    </row>
    <row r="852" spans="1:14" x14ac:dyDescent="0.25">
      <c r="A852" t="s">
        <v>1749</v>
      </c>
      <c r="B852" s="10">
        <v>46159</v>
      </c>
      <c r="C852" t="str">
        <f t="shared" si="14"/>
        <v>May</v>
      </c>
      <c r="D852" t="s">
        <v>92</v>
      </c>
      <c r="E852" t="s">
        <v>93</v>
      </c>
      <c r="F852" t="s">
        <v>16</v>
      </c>
      <c r="G852" t="s">
        <v>29</v>
      </c>
      <c r="H852" t="s">
        <v>30</v>
      </c>
      <c r="I852" s="2">
        <v>2</v>
      </c>
      <c r="J852" s="2">
        <v>1500000</v>
      </c>
      <c r="K852" s="2">
        <v>3000000</v>
      </c>
      <c r="L852" s="3">
        <v>0.1</v>
      </c>
      <c r="M852" t="s">
        <v>19</v>
      </c>
      <c r="N852" t="s">
        <v>1750</v>
      </c>
    </row>
    <row r="853" spans="1:14" x14ac:dyDescent="0.25">
      <c r="A853" t="s">
        <v>1751</v>
      </c>
      <c r="B853" s="10">
        <v>46206</v>
      </c>
      <c r="C853" t="str">
        <f t="shared" si="14"/>
        <v>July</v>
      </c>
      <c r="D853" t="s">
        <v>62</v>
      </c>
      <c r="E853" t="s">
        <v>63</v>
      </c>
      <c r="F853" t="s">
        <v>64</v>
      </c>
      <c r="G853" t="s">
        <v>17</v>
      </c>
      <c r="H853" t="s">
        <v>18</v>
      </c>
      <c r="I853" s="2">
        <v>4</v>
      </c>
      <c r="J853" s="2">
        <v>4000000</v>
      </c>
      <c r="K853" s="2">
        <v>16000000</v>
      </c>
      <c r="L853" s="3">
        <v>0</v>
      </c>
      <c r="M853" t="s">
        <v>19</v>
      </c>
      <c r="N853" t="s">
        <v>1752</v>
      </c>
    </row>
    <row r="854" spans="1:14" x14ac:dyDescent="0.25">
      <c r="A854" t="s">
        <v>1753</v>
      </c>
      <c r="B854" s="10">
        <v>46149</v>
      </c>
      <c r="C854" t="str">
        <f t="shared" si="14"/>
        <v>May</v>
      </c>
      <c r="D854" t="s">
        <v>26</v>
      </c>
      <c r="E854" t="s">
        <v>27</v>
      </c>
      <c r="F854" t="s">
        <v>28</v>
      </c>
      <c r="G854" t="s">
        <v>65</v>
      </c>
      <c r="H854" t="s">
        <v>66</v>
      </c>
      <c r="I854" s="2">
        <v>7</v>
      </c>
      <c r="J854" s="2">
        <v>2500000</v>
      </c>
      <c r="K854" s="2">
        <v>17500000</v>
      </c>
      <c r="L854" s="3">
        <v>0.1</v>
      </c>
      <c r="M854" t="s">
        <v>77</v>
      </c>
      <c r="N854" t="s">
        <v>1754</v>
      </c>
    </row>
    <row r="855" spans="1:14" x14ac:dyDescent="0.25">
      <c r="A855" t="s">
        <v>1755</v>
      </c>
      <c r="B855" s="10">
        <v>46141</v>
      </c>
      <c r="C855" t="str">
        <f t="shared" si="14"/>
        <v>April</v>
      </c>
      <c r="D855" t="s">
        <v>92</v>
      </c>
      <c r="E855" t="s">
        <v>93</v>
      </c>
      <c r="F855" t="s">
        <v>16</v>
      </c>
      <c r="G855" t="s">
        <v>65</v>
      </c>
      <c r="H855" t="s">
        <v>66</v>
      </c>
      <c r="I855" s="2">
        <v>2</v>
      </c>
      <c r="J855" s="2">
        <v>1500000</v>
      </c>
      <c r="K855" s="2">
        <v>3000000</v>
      </c>
      <c r="L855" s="3">
        <v>0.05</v>
      </c>
      <c r="M855" t="s">
        <v>19</v>
      </c>
      <c r="N855" t="s">
        <v>1756</v>
      </c>
    </row>
    <row r="856" spans="1:14" x14ac:dyDescent="0.25">
      <c r="A856" t="s">
        <v>1757</v>
      </c>
      <c r="B856" s="10">
        <v>46221</v>
      </c>
      <c r="C856" t="str">
        <f t="shared" si="14"/>
        <v>July</v>
      </c>
      <c r="D856" t="s">
        <v>34</v>
      </c>
      <c r="E856" t="s">
        <v>35</v>
      </c>
      <c r="F856" t="s">
        <v>36</v>
      </c>
      <c r="G856" t="s">
        <v>17</v>
      </c>
      <c r="H856" t="s">
        <v>18</v>
      </c>
      <c r="I856" s="2">
        <v>9</v>
      </c>
      <c r="J856" s="2">
        <v>2000000</v>
      </c>
      <c r="K856" s="2">
        <v>18000000</v>
      </c>
      <c r="L856" s="3">
        <v>0.15</v>
      </c>
      <c r="M856" t="s">
        <v>19</v>
      </c>
      <c r="N856" t="s">
        <v>1758</v>
      </c>
    </row>
    <row r="857" spans="1:14" x14ac:dyDescent="0.25">
      <c r="A857" t="s">
        <v>1759</v>
      </c>
      <c r="B857" s="10">
        <v>46238</v>
      </c>
      <c r="C857" t="str">
        <f t="shared" si="14"/>
        <v>August</v>
      </c>
      <c r="D857" t="s">
        <v>58</v>
      </c>
      <c r="E857" t="s">
        <v>59</v>
      </c>
      <c r="F857" t="s">
        <v>28</v>
      </c>
      <c r="G857" t="s">
        <v>42</v>
      </c>
      <c r="H857" t="s">
        <v>43</v>
      </c>
      <c r="I857" s="2">
        <v>14</v>
      </c>
      <c r="J857" s="2">
        <v>5500000</v>
      </c>
      <c r="K857" s="2">
        <v>77000000</v>
      </c>
      <c r="L857" s="3">
        <v>0</v>
      </c>
      <c r="M857" t="s">
        <v>19</v>
      </c>
      <c r="N857" t="s">
        <v>1760</v>
      </c>
    </row>
    <row r="858" spans="1:14" x14ac:dyDescent="0.25">
      <c r="A858" t="s">
        <v>1761</v>
      </c>
      <c r="B858" s="10">
        <v>46205</v>
      </c>
      <c r="C858" t="str">
        <f t="shared" si="14"/>
        <v>July</v>
      </c>
      <c r="D858" t="s">
        <v>26</v>
      </c>
      <c r="E858" t="s">
        <v>27</v>
      </c>
      <c r="F858" t="s">
        <v>28</v>
      </c>
      <c r="G858" t="s">
        <v>42</v>
      </c>
      <c r="H858" t="s">
        <v>43</v>
      </c>
      <c r="I858" s="2">
        <v>13</v>
      </c>
      <c r="J858" s="2">
        <v>2500000</v>
      </c>
      <c r="K858" s="2">
        <v>32500000</v>
      </c>
      <c r="L858" s="3">
        <v>0.15</v>
      </c>
      <c r="M858" t="s">
        <v>19</v>
      </c>
      <c r="N858" t="s">
        <v>1762</v>
      </c>
    </row>
    <row r="859" spans="1:14" x14ac:dyDescent="0.25">
      <c r="A859" t="s">
        <v>1763</v>
      </c>
      <c r="B859" s="10">
        <v>46031</v>
      </c>
      <c r="C859" t="str">
        <f t="shared" si="14"/>
        <v>January</v>
      </c>
      <c r="D859" t="s">
        <v>26</v>
      </c>
      <c r="E859" t="s">
        <v>27</v>
      </c>
      <c r="F859" t="s">
        <v>28</v>
      </c>
      <c r="G859" t="s">
        <v>42</v>
      </c>
      <c r="H859" t="s">
        <v>43</v>
      </c>
      <c r="I859" s="2">
        <v>12</v>
      </c>
      <c r="J859" s="2">
        <v>2500000</v>
      </c>
      <c r="K859" s="2">
        <v>30000000</v>
      </c>
      <c r="L859" s="3">
        <v>0</v>
      </c>
      <c r="M859" t="s">
        <v>31</v>
      </c>
      <c r="N859" t="s">
        <v>1764</v>
      </c>
    </row>
    <row r="860" spans="1:14" x14ac:dyDescent="0.25">
      <c r="A860" t="s">
        <v>1765</v>
      </c>
      <c r="B860" s="10">
        <v>46076</v>
      </c>
      <c r="C860" t="str">
        <f t="shared" si="14"/>
        <v>February</v>
      </c>
      <c r="D860" t="s">
        <v>62</v>
      </c>
      <c r="E860" t="s">
        <v>63</v>
      </c>
      <c r="F860" t="s">
        <v>64</v>
      </c>
      <c r="G860" t="s">
        <v>42</v>
      </c>
      <c r="H860" t="s">
        <v>43</v>
      </c>
      <c r="I860" s="2">
        <v>11</v>
      </c>
      <c r="J860" s="2">
        <v>4000000</v>
      </c>
      <c r="K860" s="2">
        <v>44000000</v>
      </c>
      <c r="L860" s="3">
        <v>0.1</v>
      </c>
      <c r="M860" t="s">
        <v>19</v>
      </c>
      <c r="N860" t="s">
        <v>1766</v>
      </c>
    </row>
    <row r="861" spans="1:14" x14ac:dyDescent="0.25">
      <c r="A861" t="s">
        <v>1767</v>
      </c>
      <c r="B861" s="10">
        <v>46184</v>
      </c>
      <c r="C861" t="str">
        <f t="shared" si="14"/>
        <v>June</v>
      </c>
      <c r="D861" t="s">
        <v>92</v>
      </c>
      <c r="E861" t="s">
        <v>93</v>
      </c>
      <c r="F861" t="s">
        <v>16</v>
      </c>
      <c r="G861" t="s">
        <v>22</v>
      </c>
      <c r="H861" t="s">
        <v>23</v>
      </c>
      <c r="I861" s="2">
        <v>9</v>
      </c>
      <c r="J861" s="2">
        <v>1500000</v>
      </c>
      <c r="K861" s="2">
        <v>13500000</v>
      </c>
      <c r="L861" s="3">
        <v>0</v>
      </c>
      <c r="M861" t="s">
        <v>19</v>
      </c>
      <c r="N861" t="s">
        <v>1768</v>
      </c>
    </row>
    <row r="862" spans="1:14" x14ac:dyDescent="0.25">
      <c r="A862" t="s">
        <v>1769</v>
      </c>
      <c r="B862" s="10">
        <v>46186</v>
      </c>
      <c r="C862" t="str">
        <f t="shared" si="14"/>
        <v>June</v>
      </c>
      <c r="D862" t="s">
        <v>58</v>
      </c>
      <c r="E862" t="s">
        <v>59</v>
      </c>
      <c r="F862" t="s">
        <v>28</v>
      </c>
      <c r="G862" t="s">
        <v>29</v>
      </c>
      <c r="H862" t="s">
        <v>30</v>
      </c>
      <c r="I862" s="2">
        <v>6</v>
      </c>
      <c r="J862" s="2">
        <v>5500000</v>
      </c>
      <c r="K862" s="2">
        <v>33000000</v>
      </c>
      <c r="L862" s="3">
        <v>0</v>
      </c>
      <c r="M862" t="s">
        <v>51</v>
      </c>
      <c r="N862" t="s">
        <v>1770</v>
      </c>
    </row>
    <row r="863" spans="1:14" x14ac:dyDescent="0.25">
      <c r="A863" t="s">
        <v>1771</v>
      </c>
      <c r="B863" s="10">
        <v>46051</v>
      </c>
      <c r="C863" t="str">
        <f t="shared" si="14"/>
        <v>January</v>
      </c>
      <c r="D863" t="s">
        <v>26</v>
      </c>
      <c r="E863" t="s">
        <v>27</v>
      </c>
      <c r="F863" t="s">
        <v>28</v>
      </c>
      <c r="G863" t="s">
        <v>42</v>
      </c>
      <c r="H863" t="s">
        <v>43</v>
      </c>
      <c r="I863" s="2">
        <v>6</v>
      </c>
      <c r="J863" s="2">
        <v>2500000</v>
      </c>
      <c r="K863" s="2">
        <v>15000000</v>
      </c>
      <c r="L863" s="3">
        <v>0</v>
      </c>
      <c r="M863" t="s">
        <v>19</v>
      </c>
      <c r="N863" t="s">
        <v>1772</v>
      </c>
    </row>
    <row r="864" spans="1:14" x14ac:dyDescent="0.25">
      <c r="A864" t="s">
        <v>1773</v>
      </c>
      <c r="B864" s="10">
        <v>46093</v>
      </c>
      <c r="C864" t="str">
        <f t="shared" si="14"/>
        <v>March</v>
      </c>
      <c r="D864" t="s">
        <v>14</v>
      </c>
      <c r="E864" t="s">
        <v>15</v>
      </c>
      <c r="F864" t="s">
        <v>16</v>
      </c>
      <c r="G864" t="s">
        <v>42</v>
      </c>
      <c r="H864" t="s">
        <v>43</v>
      </c>
      <c r="I864" s="2">
        <v>13</v>
      </c>
      <c r="J864" s="2">
        <v>3500000</v>
      </c>
      <c r="K864" s="2">
        <v>45500000</v>
      </c>
      <c r="L864" s="3">
        <v>0.05</v>
      </c>
      <c r="M864" t="s">
        <v>19</v>
      </c>
      <c r="N864" t="s">
        <v>1774</v>
      </c>
    </row>
    <row r="865" spans="1:14" x14ac:dyDescent="0.25">
      <c r="A865" t="s">
        <v>1775</v>
      </c>
      <c r="B865" s="10">
        <v>46171</v>
      </c>
      <c r="C865" t="str">
        <f t="shared" si="14"/>
        <v>May</v>
      </c>
      <c r="D865" t="s">
        <v>62</v>
      </c>
      <c r="E865" t="s">
        <v>63</v>
      </c>
      <c r="F865" t="s">
        <v>64</v>
      </c>
      <c r="G865" t="s">
        <v>22</v>
      </c>
      <c r="H865" t="s">
        <v>23</v>
      </c>
      <c r="I865" s="2">
        <v>3</v>
      </c>
      <c r="J865" s="2">
        <v>4000000</v>
      </c>
      <c r="K865" s="2">
        <v>12000000</v>
      </c>
      <c r="L865" s="3">
        <v>0.1</v>
      </c>
      <c r="M865" t="s">
        <v>19</v>
      </c>
      <c r="N865" t="s">
        <v>1776</v>
      </c>
    </row>
    <row r="866" spans="1:14" x14ac:dyDescent="0.25">
      <c r="A866" t="s">
        <v>1777</v>
      </c>
      <c r="B866" s="10">
        <v>46063</v>
      </c>
      <c r="C866" t="str">
        <f t="shared" si="14"/>
        <v>February</v>
      </c>
      <c r="D866" t="s">
        <v>62</v>
      </c>
      <c r="E866" t="s">
        <v>63</v>
      </c>
      <c r="F866" t="s">
        <v>64</v>
      </c>
      <c r="G866" t="s">
        <v>17</v>
      </c>
      <c r="H866" t="s">
        <v>18</v>
      </c>
      <c r="I866" s="2">
        <v>11</v>
      </c>
      <c r="J866" s="2">
        <v>4000000</v>
      </c>
      <c r="K866" s="2">
        <v>44000000</v>
      </c>
      <c r="L866" s="3">
        <v>0.1</v>
      </c>
      <c r="M866" t="s">
        <v>51</v>
      </c>
      <c r="N866" t="s">
        <v>1778</v>
      </c>
    </row>
    <row r="867" spans="1:14" x14ac:dyDescent="0.25">
      <c r="A867" t="s">
        <v>1779</v>
      </c>
      <c r="B867" s="10">
        <v>46038</v>
      </c>
      <c r="C867" t="str">
        <f t="shared" si="14"/>
        <v>January</v>
      </c>
      <c r="D867" t="s">
        <v>46</v>
      </c>
      <c r="E867" t="s">
        <v>47</v>
      </c>
      <c r="F867" t="s">
        <v>48</v>
      </c>
      <c r="G867" t="s">
        <v>29</v>
      </c>
      <c r="H867" t="s">
        <v>30</v>
      </c>
      <c r="I867" s="2">
        <v>12</v>
      </c>
      <c r="J867" s="2">
        <v>750000</v>
      </c>
      <c r="K867" s="2">
        <v>9000000</v>
      </c>
      <c r="L867" s="3">
        <v>0</v>
      </c>
      <c r="M867" t="s">
        <v>19</v>
      </c>
      <c r="N867" t="s">
        <v>1780</v>
      </c>
    </row>
    <row r="868" spans="1:14" x14ac:dyDescent="0.25">
      <c r="A868" t="s">
        <v>1781</v>
      </c>
      <c r="B868" s="10">
        <v>46082</v>
      </c>
      <c r="C868" t="str">
        <f t="shared" si="14"/>
        <v>March</v>
      </c>
      <c r="D868" t="s">
        <v>46</v>
      </c>
      <c r="E868" t="s">
        <v>47</v>
      </c>
      <c r="F868" t="s">
        <v>48</v>
      </c>
      <c r="G868" t="s">
        <v>22</v>
      </c>
      <c r="H868" t="s">
        <v>23</v>
      </c>
      <c r="I868" s="2">
        <v>13</v>
      </c>
      <c r="J868" s="2">
        <v>750000</v>
      </c>
      <c r="K868" s="2">
        <v>9750000</v>
      </c>
      <c r="L868" s="3">
        <v>0.1</v>
      </c>
      <c r="M868" t="s">
        <v>77</v>
      </c>
      <c r="N868" t="s">
        <v>1782</v>
      </c>
    </row>
    <row r="869" spans="1:14" x14ac:dyDescent="0.25">
      <c r="A869" t="s">
        <v>1783</v>
      </c>
      <c r="B869" s="10">
        <v>46072</v>
      </c>
      <c r="C869" t="str">
        <f t="shared" si="14"/>
        <v>February</v>
      </c>
      <c r="D869" t="s">
        <v>92</v>
      </c>
      <c r="E869" t="s">
        <v>93</v>
      </c>
      <c r="F869" t="s">
        <v>16</v>
      </c>
      <c r="G869" t="s">
        <v>42</v>
      </c>
      <c r="H869" t="s">
        <v>43</v>
      </c>
      <c r="I869" s="2">
        <v>6</v>
      </c>
      <c r="J869" s="2">
        <v>1500000</v>
      </c>
      <c r="K869" s="2">
        <v>9000000</v>
      </c>
      <c r="L869" s="3">
        <v>0.05</v>
      </c>
      <c r="M869" t="s">
        <v>19</v>
      </c>
      <c r="N869" t="s">
        <v>1784</v>
      </c>
    </row>
    <row r="870" spans="1:14" x14ac:dyDescent="0.25">
      <c r="A870" t="s">
        <v>1785</v>
      </c>
      <c r="B870" s="10">
        <v>46147</v>
      </c>
      <c r="C870" t="str">
        <f t="shared" si="14"/>
        <v>May</v>
      </c>
      <c r="D870" t="s">
        <v>62</v>
      </c>
      <c r="E870" t="s">
        <v>63</v>
      </c>
      <c r="F870" t="s">
        <v>64</v>
      </c>
      <c r="G870" t="s">
        <v>22</v>
      </c>
      <c r="H870" t="s">
        <v>23</v>
      </c>
      <c r="I870" s="2">
        <v>5</v>
      </c>
      <c r="J870" s="2">
        <v>4000000</v>
      </c>
      <c r="K870" s="2">
        <v>20000000</v>
      </c>
      <c r="L870" s="3">
        <v>0.15</v>
      </c>
      <c r="M870" t="s">
        <v>19</v>
      </c>
      <c r="N870" t="s">
        <v>1786</v>
      </c>
    </row>
    <row r="871" spans="1:14" x14ac:dyDescent="0.25">
      <c r="A871" t="s">
        <v>1787</v>
      </c>
      <c r="B871" s="10">
        <v>46070</v>
      </c>
      <c r="C871" t="str">
        <f t="shared" si="14"/>
        <v>February</v>
      </c>
      <c r="D871" t="s">
        <v>46</v>
      </c>
      <c r="E871" t="s">
        <v>47</v>
      </c>
      <c r="F871" t="s">
        <v>48</v>
      </c>
      <c r="G871" t="s">
        <v>65</v>
      </c>
      <c r="H871" t="s">
        <v>66</v>
      </c>
      <c r="I871" s="2">
        <v>12</v>
      </c>
      <c r="J871" s="2">
        <v>750000</v>
      </c>
      <c r="K871" s="2">
        <v>9000000</v>
      </c>
      <c r="L871" s="3">
        <v>0.15</v>
      </c>
      <c r="M871" t="s">
        <v>19</v>
      </c>
      <c r="N871" t="s">
        <v>1788</v>
      </c>
    </row>
    <row r="872" spans="1:14" x14ac:dyDescent="0.25">
      <c r="A872" t="s">
        <v>1789</v>
      </c>
      <c r="B872" s="10">
        <v>46235</v>
      </c>
      <c r="C872" t="str">
        <f t="shared" si="14"/>
        <v>August</v>
      </c>
      <c r="D872" t="s">
        <v>39</v>
      </c>
      <c r="E872" t="s">
        <v>40</v>
      </c>
      <c r="F872" t="s">
        <v>41</v>
      </c>
      <c r="G872" t="s">
        <v>17</v>
      </c>
      <c r="H872" t="s">
        <v>18</v>
      </c>
      <c r="I872" s="2">
        <v>9</v>
      </c>
      <c r="J872" s="2">
        <v>12000000</v>
      </c>
      <c r="K872" s="2">
        <v>108000000</v>
      </c>
      <c r="L872" s="3">
        <v>0.05</v>
      </c>
      <c r="M872" t="s">
        <v>77</v>
      </c>
      <c r="N872" t="s">
        <v>1790</v>
      </c>
    </row>
    <row r="873" spans="1:14" x14ac:dyDescent="0.25">
      <c r="A873" t="s">
        <v>1791</v>
      </c>
      <c r="B873" s="10">
        <v>46232</v>
      </c>
      <c r="C873" t="str">
        <f t="shared" si="14"/>
        <v>July</v>
      </c>
      <c r="D873" t="s">
        <v>58</v>
      </c>
      <c r="E873" t="s">
        <v>59</v>
      </c>
      <c r="F873" t="s">
        <v>28</v>
      </c>
      <c r="G873" t="s">
        <v>22</v>
      </c>
      <c r="H873" t="s">
        <v>23</v>
      </c>
      <c r="I873" s="2">
        <v>6</v>
      </c>
      <c r="J873" s="2">
        <v>5500000</v>
      </c>
      <c r="K873" s="2">
        <v>33000000</v>
      </c>
      <c r="L873" s="3">
        <v>0.15</v>
      </c>
      <c r="M873" t="s">
        <v>19</v>
      </c>
      <c r="N873" t="s">
        <v>1792</v>
      </c>
    </row>
    <row r="874" spans="1:14" x14ac:dyDescent="0.25">
      <c r="A874" t="s">
        <v>1793</v>
      </c>
      <c r="B874" s="10">
        <v>46186</v>
      </c>
      <c r="C874" t="str">
        <f t="shared" si="14"/>
        <v>June</v>
      </c>
      <c r="D874" t="s">
        <v>34</v>
      </c>
      <c r="E874" t="s">
        <v>35</v>
      </c>
      <c r="F874" t="s">
        <v>36</v>
      </c>
      <c r="G874" t="s">
        <v>29</v>
      </c>
      <c r="H874" t="s">
        <v>30</v>
      </c>
      <c r="I874" s="2">
        <v>15</v>
      </c>
      <c r="J874" s="2">
        <v>2000000</v>
      </c>
      <c r="K874" s="2">
        <v>30000000</v>
      </c>
      <c r="L874" s="3">
        <v>0</v>
      </c>
      <c r="M874" t="s">
        <v>31</v>
      </c>
      <c r="N874" t="s">
        <v>1794</v>
      </c>
    </row>
    <row r="875" spans="1:14" x14ac:dyDescent="0.25">
      <c r="A875" t="s">
        <v>1795</v>
      </c>
      <c r="B875" s="10">
        <v>46116</v>
      </c>
      <c r="C875" t="str">
        <f t="shared" si="14"/>
        <v>April</v>
      </c>
      <c r="D875" t="s">
        <v>26</v>
      </c>
      <c r="E875" t="s">
        <v>27</v>
      </c>
      <c r="F875" t="s">
        <v>28</v>
      </c>
      <c r="G875" t="s">
        <v>65</v>
      </c>
      <c r="H875" t="s">
        <v>66</v>
      </c>
      <c r="I875" s="2">
        <v>12</v>
      </c>
      <c r="J875" s="2">
        <v>2500000</v>
      </c>
      <c r="K875" s="2">
        <v>30000000</v>
      </c>
      <c r="L875" s="3">
        <v>0</v>
      </c>
      <c r="M875" t="s">
        <v>51</v>
      </c>
      <c r="N875" t="s">
        <v>1796</v>
      </c>
    </row>
    <row r="876" spans="1:14" x14ac:dyDescent="0.25">
      <c r="A876" t="s">
        <v>1797</v>
      </c>
      <c r="B876" s="10">
        <v>46232</v>
      </c>
      <c r="C876" t="str">
        <f t="shared" si="14"/>
        <v>July</v>
      </c>
      <c r="D876" t="s">
        <v>34</v>
      </c>
      <c r="E876" t="s">
        <v>35</v>
      </c>
      <c r="F876" t="s">
        <v>36</v>
      </c>
      <c r="G876" t="s">
        <v>29</v>
      </c>
      <c r="H876" t="s">
        <v>30</v>
      </c>
      <c r="I876" s="2">
        <v>9</v>
      </c>
      <c r="J876" s="2">
        <v>2000000</v>
      </c>
      <c r="K876" s="2">
        <v>18000000</v>
      </c>
      <c r="L876" s="3">
        <v>0.15</v>
      </c>
      <c r="M876" t="s">
        <v>31</v>
      </c>
      <c r="N876" t="s">
        <v>1798</v>
      </c>
    </row>
    <row r="877" spans="1:14" x14ac:dyDescent="0.25">
      <c r="A877" t="s">
        <v>1799</v>
      </c>
      <c r="B877" s="10">
        <v>46179</v>
      </c>
      <c r="C877" t="str">
        <f t="shared" si="14"/>
        <v>June</v>
      </c>
      <c r="D877" t="s">
        <v>58</v>
      </c>
      <c r="E877" t="s">
        <v>59</v>
      </c>
      <c r="F877" t="s">
        <v>28</v>
      </c>
      <c r="G877" t="s">
        <v>65</v>
      </c>
      <c r="H877" t="s">
        <v>66</v>
      </c>
      <c r="I877" s="2">
        <v>7</v>
      </c>
      <c r="J877" s="2">
        <v>5500000</v>
      </c>
      <c r="K877" s="2">
        <v>38500000</v>
      </c>
      <c r="L877" s="3">
        <v>0.1</v>
      </c>
      <c r="M877" t="s">
        <v>19</v>
      </c>
      <c r="N877" t="s">
        <v>1800</v>
      </c>
    </row>
    <row r="878" spans="1:14" x14ac:dyDescent="0.25">
      <c r="A878" t="s">
        <v>1801</v>
      </c>
      <c r="B878" s="10">
        <v>46156</v>
      </c>
      <c r="C878" t="str">
        <f t="shared" si="14"/>
        <v>May</v>
      </c>
      <c r="D878" t="s">
        <v>14</v>
      </c>
      <c r="E878" t="s">
        <v>15</v>
      </c>
      <c r="F878" t="s">
        <v>16</v>
      </c>
      <c r="G878" t="s">
        <v>17</v>
      </c>
      <c r="H878" t="s">
        <v>18</v>
      </c>
      <c r="I878" s="2">
        <v>14</v>
      </c>
      <c r="J878" s="2">
        <v>3500000</v>
      </c>
      <c r="K878" s="2">
        <v>49000000</v>
      </c>
      <c r="L878" s="3">
        <v>0.05</v>
      </c>
      <c r="M878" t="s">
        <v>19</v>
      </c>
      <c r="N878" t="s">
        <v>1802</v>
      </c>
    </row>
    <row r="879" spans="1:14" x14ac:dyDescent="0.25">
      <c r="A879" t="s">
        <v>1803</v>
      </c>
      <c r="B879" s="10">
        <v>46031</v>
      </c>
      <c r="C879" t="str">
        <f t="shared" si="14"/>
        <v>January</v>
      </c>
      <c r="D879" t="s">
        <v>26</v>
      </c>
      <c r="E879" t="s">
        <v>27</v>
      </c>
      <c r="F879" t="s">
        <v>28</v>
      </c>
      <c r="G879" t="s">
        <v>17</v>
      </c>
      <c r="H879" t="s">
        <v>18</v>
      </c>
      <c r="I879" s="2">
        <v>8</v>
      </c>
      <c r="J879" s="2">
        <v>2500000</v>
      </c>
      <c r="K879" s="2">
        <v>20000000</v>
      </c>
      <c r="L879" s="3">
        <v>0.05</v>
      </c>
      <c r="M879" t="s">
        <v>19</v>
      </c>
      <c r="N879" t="s">
        <v>1804</v>
      </c>
    </row>
    <row r="880" spans="1:14" x14ac:dyDescent="0.25">
      <c r="A880" t="s">
        <v>1805</v>
      </c>
      <c r="B880" s="10">
        <v>46169</v>
      </c>
      <c r="C880" t="str">
        <f t="shared" si="14"/>
        <v>May</v>
      </c>
      <c r="D880" t="s">
        <v>34</v>
      </c>
      <c r="E880" t="s">
        <v>35</v>
      </c>
      <c r="F880" t="s">
        <v>36</v>
      </c>
      <c r="G880" t="s">
        <v>42</v>
      </c>
      <c r="H880" t="s">
        <v>43</v>
      </c>
      <c r="I880" s="2">
        <v>9</v>
      </c>
      <c r="J880" s="2">
        <v>2000000</v>
      </c>
      <c r="K880" s="2">
        <v>18000000</v>
      </c>
      <c r="L880" s="3">
        <v>0.1</v>
      </c>
      <c r="M880" t="s">
        <v>19</v>
      </c>
      <c r="N880" t="s">
        <v>1806</v>
      </c>
    </row>
    <row r="881" spans="1:14" x14ac:dyDescent="0.25">
      <c r="A881" t="s">
        <v>1807</v>
      </c>
      <c r="B881" s="10">
        <v>46079</v>
      </c>
      <c r="C881" t="str">
        <f t="shared" si="14"/>
        <v>February</v>
      </c>
      <c r="D881" t="s">
        <v>14</v>
      </c>
      <c r="E881" t="s">
        <v>15</v>
      </c>
      <c r="F881" t="s">
        <v>16</v>
      </c>
      <c r="G881" t="s">
        <v>17</v>
      </c>
      <c r="H881" t="s">
        <v>18</v>
      </c>
      <c r="I881" s="2">
        <v>15</v>
      </c>
      <c r="J881" s="2">
        <v>3500000</v>
      </c>
      <c r="K881" s="2">
        <v>52500000</v>
      </c>
      <c r="L881" s="3">
        <v>0.05</v>
      </c>
      <c r="M881" t="s">
        <v>51</v>
      </c>
      <c r="N881" t="s">
        <v>1808</v>
      </c>
    </row>
    <row r="882" spans="1:14" x14ac:dyDescent="0.25">
      <c r="A882" t="s">
        <v>1809</v>
      </c>
      <c r="B882" s="10">
        <v>46236</v>
      </c>
      <c r="C882" t="str">
        <f t="shared" si="14"/>
        <v>August</v>
      </c>
      <c r="D882" t="s">
        <v>14</v>
      </c>
      <c r="E882" t="s">
        <v>15</v>
      </c>
      <c r="F882" t="s">
        <v>16</v>
      </c>
      <c r="G882" t="s">
        <v>42</v>
      </c>
      <c r="H882" t="s">
        <v>43</v>
      </c>
      <c r="I882" s="2">
        <v>13</v>
      </c>
      <c r="J882" s="2">
        <v>3500000</v>
      </c>
      <c r="K882" s="2">
        <v>45500000</v>
      </c>
      <c r="L882" s="3">
        <v>0</v>
      </c>
      <c r="M882" t="s">
        <v>19</v>
      </c>
      <c r="N882" t="s">
        <v>1810</v>
      </c>
    </row>
    <row r="883" spans="1:14" x14ac:dyDescent="0.25">
      <c r="A883" t="s">
        <v>1811</v>
      </c>
      <c r="B883" s="10">
        <v>46213</v>
      </c>
      <c r="C883" t="str">
        <f t="shared" si="14"/>
        <v>July</v>
      </c>
      <c r="D883" t="s">
        <v>34</v>
      </c>
      <c r="E883" t="s">
        <v>35</v>
      </c>
      <c r="F883" t="s">
        <v>36</v>
      </c>
      <c r="G883" t="s">
        <v>65</v>
      </c>
      <c r="H883" t="s">
        <v>66</v>
      </c>
      <c r="I883" s="2">
        <v>13</v>
      </c>
      <c r="J883" s="2">
        <v>2000000</v>
      </c>
      <c r="K883" s="2">
        <v>26000000</v>
      </c>
      <c r="L883" s="3">
        <v>0</v>
      </c>
      <c r="M883" t="s">
        <v>31</v>
      </c>
      <c r="N883" t="s">
        <v>1812</v>
      </c>
    </row>
    <row r="884" spans="1:14" x14ac:dyDescent="0.25">
      <c r="A884" t="s">
        <v>1813</v>
      </c>
      <c r="B884" s="10">
        <v>46158</v>
      </c>
      <c r="C884" t="str">
        <f t="shared" si="14"/>
        <v>May</v>
      </c>
      <c r="D884" t="s">
        <v>92</v>
      </c>
      <c r="E884" t="s">
        <v>93</v>
      </c>
      <c r="F884" t="s">
        <v>16</v>
      </c>
      <c r="G884" t="s">
        <v>17</v>
      </c>
      <c r="H884" t="s">
        <v>18</v>
      </c>
      <c r="I884" s="2">
        <v>14</v>
      </c>
      <c r="J884" s="2">
        <v>1500000</v>
      </c>
      <c r="K884" s="2">
        <v>21000000</v>
      </c>
      <c r="L884" s="3">
        <v>0.1</v>
      </c>
      <c r="M884" t="s">
        <v>19</v>
      </c>
      <c r="N884" t="s">
        <v>1814</v>
      </c>
    </row>
    <row r="885" spans="1:14" x14ac:dyDescent="0.25">
      <c r="A885" t="s">
        <v>1815</v>
      </c>
      <c r="B885" s="10">
        <v>46155</v>
      </c>
      <c r="C885" t="str">
        <f t="shared" si="14"/>
        <v>May</v>
      </c>
      <c r="D885" t="s">
        <v>14</v>
      </c>
      <c r="E885" t="s">
        <v>15</v>
      </c>
      <c r="F885" t="s">
        <v>16</v>
      </c>
      <c r="G885" t="s">
        <v>17</v>
      </c>
      <c r="H885" t="s">
        <v>18</v>
      </c>
      <c r="I885" s="2">
        <v>12</v>
      </c>
      <c r="J885" s="2">
        <v>3500000</v>
      </c>
      <c r="K885" s="2">
        <v>42000000</v>
      </c>
      <c r="L885" s="3">
        <v>0.05</v>
      </c>
      <c r="M885" t="s">
        <v>31</v>
      </c>
      <c r="N885" t="s">
        <v>1816</v>
      </c>
    </row>
    <row r="886" spans="1:14" x14ac:dyDescent="0.25">
      <c r="A886" t="s">
        <v>1817</v>
      </c>
      <c r="B886" s="10">
        <v>46071</v>
      </c>
      <c r="C886" t="str">
        <f t="shared" si="14"/>
        <v>February</v>
      </c>
      <c r="D886" t="s">
        <v>26</v>
      </c>
      <c r="E886" t="s">
        <v>27</v>
      </c>
      <c r="F886" t="s">
        <v>28</v>
      </c>
      <c r="G886" t="s">
        <v>22</v>
      </c>
      <c r="H886" t="s">
        <v>23</v>
      </c>
      <c r="I886" s="2">
        <v>11</v>
      </c>
      <c r="J886" s="2">
        <v>2500000</v>
      </c>
      <c r="K886" s="2">
        <v>27500000</v>
      </c>
      <c r="L886" s="3">
        <v>0.05</v>
      </c>
      <c r="M886" t="s">
        <v>31</v>
      </c>
      <c r="N886" t="s">
        <v>1818</v>
      </c>
    </row>
    <row r="887" spans="1:14" x14ac:dyDescent="0.25">
      <c r="A887" t="s">
        <v>1819</v>
      </c>
      <c r="B887" s="10">
        <v>46068</v>
      </c>
      <c r="C887" t="str">
        <f t="shared" si="14"/>
        <v>February</v>
      </c>
      <c r="D887" t="s">
        <v>34</v>
      </c>
      <c r="E887" t="s">
        <v>35</v>
      </c>
      <c r="F887" t="s">
        <v>36</v>
      </c>
      <c r="G887" t="s">
        <v>17</v>
      </c>
      <c r="H887" t="s">
        <v>18</v>
      </c>
      <c r="I887" s="2">
        <v>13</v>
      </c>
      <c r="J887" s="2">
        <v>2000000</v>
      </c>
      <c r="K887" s="2">
        <v>26000000</v>
      </c>
      <c r="L887" s="3">
        <v>0.1</v>
      </c>
      <c r="M887" t="s">
        <v>51</v>
      </c>
      <c r="N887" t="s">
        <v>1820</v>
      </c>
    </row>
    <row r="888" spans="1:14" x14ac:dyDescent="0.25">
      <c r="A888" t="s">
        <v>1821</v>
      </c>
      <c r="B888" s="10">
        <v>46202</v>
      </c>
      <c r="C888" t="str">
        <f t="shared" si="14"/>
        <v>June</v>
      </c>
      <c r="D888" t="s">
        <v>34</v>
      </c>
      <c r="E888" t="s">
        <v>35</v>
      </c>
      <c r="F888" t="s">
        <v>36</v>
      </c>
      <c r="G888" t="s">
        <v>17</v>
      </c>
      <c r="H888" t="s">
        <v>18</v>
      </c>
      <c r="I888" s="2">
        <v>3</v>
      </c>
      <c r="J888" s="2">
        <v>2000000</v>
      </c>
      <c r="K888" s="2">
        <v>6000000</v>
      </c>
      <c r="L888" s="3">
        <v>0.05</v>
      </c>
      <c r="M888" t="s">
        <v>31</v>
      </c>
      <c r="N888" t="s">
        <v>1822</v>
      </c>
    </row>
    <row r="889" spans="1:14" x14ac:dyDescent="0.25">
      <c r="A889" t="s">
        <v>1823</v>
      </c>
      <c r="B889" s="10">
        <v>46152</v>
      </c>
      <c r="C889" t="str">
        <f t="shared" si="14"/>
        <v>May</v>
      </c>
      <c r="D889" t="s">
        <v>46</v>
      </c>
      <c r="E889" t="s">
        <v>47</v>
      </c>
      <c r="F889" t="s">
        <v>48</v>
      </c>
      <c r="G889" t="s">
        <v>29</v>
      </c>
      <c r="H889" t="s">
        <v>30</v>
      </c>
      <c r="I889" s="2">
        <v>9</v>
      </c>
      <c r="J889" s="2">
        <v>750000</v>
      </c>
      <c r="K889" s="2">
        <v>6750000</v>
      </c>
      <c r="L889" s="3">
        <v>0.15</v>
      </c>
      <c r="M889" t="s">
        <v>19</v>
      </c>
      <c r="N889" t="s">
        <v>1824</v>
      </c>
    </row>
    <row r="890" spans="1:14" x14ac:dyDescent="0.25">
      <c r="A890" t="s">
        <v>1825</v>
      </c>
      <c r="B890" s="10">
        <v>46163</v>
      </c>
      <c r="C890" t="str">
        <f t="shared" si="14"/>
        <v>May</v>
      </c>
      <c r="D890" t="s">
        <v>46</v>
      </c>
      <c r="E890" t="s">
        <v>47</v>
      </c>
      <c r="F890" t="s">
        <v>48</v>
      </c>
      <c r="G890" t="s">
        <v>65</v>
      </c>
      <c r="H890" t="s">
        <v>66</v>
      </c>
      <c r="I890" s="2">
        <v>7</v>
      </c>
      <c r="J890" s="2">
        <v>750000</v>
      </c>
      <c r="K890" s="2">
        <v>5250000</v>
      </c>
      <c r="L890" s="3">
        <v>0.15</v>
      </c>
      <c r="M890" t="s">
        <v>51</v>
      </c>
      <c r="N890" t="s">
        <v>1826</v>
      </c>
    </row>
    <row r="891" spans="1:14" x14ac:dyDescent="0.25">
      <c r="A891" t="s">
        <v>1827</v>
      </c>
      <c r="B891" s="10">
        <v>46178</v>
      </c>
      <c r="C891" t="str">
        <f t="shared" si="14"/>
        <v>June</v>
      </c>
      <c r="D891" t="s">
        <v>26</v>
      </c>
      <c r="E891" t="s">
        <v>27</v>
      </c>
      <c r="F891" t="s">
        <v>28</v>
      </c>
      <c r="G891" t="s">
        <v>22</v>
      </c>
      <c r="H891" t="s">
        <v>23</v>
      </c>
      <c r="I891" s="2">
        <v>9</v>
      </c>
      <c r="J891" s="2">
        <v>2500000</v>
      </c>
      <c r="K891" s="2">
        <v>22500000</v>
      </c>
      <c r="L891" s="3">
        <v>0.05</v>
      </c>
      <c r="M891" t="s">
        <v>77</v>
      </c>
      <c r="N891" t="s">
        <v>1828</v>
      </c>
    </row>
    <row r="892" spans="1:14" x14ac:dyDescent="0.25">
      <c r="A892" t="s">
        <v>1829</v>
      </c>
      <c r="B892" s="10">
        <v>46163</v>
      </c>
      <c r="C892" t="str">
        <f t="shared" si="14"/>
        <v>May</v>
      </c>
      <c r="D892" t="s">
        <v>58</v>
      </c>
      <c r="E892" t="s">
        <v>59</v>
      </c>
      <c r="F892" t="s">
        <v>28</v>
      </c>
      <c r="G892" t="s">
        <v>65</v>
      </c>
      <c r="H892" t="s">
        <v>66</v>
      </c>
      <c r="I892" s="2">
        <v>8</v>
      </c>
      <c r="J892" s="2">
        <v>5500000</v>
      </c>
      <c r="K892" s="2">
        <v>44000000</v>
      </c>
      <c r="L892" s="3">
        <v>0.15</v>
      </c>
      <c r="M892" t="s">
        <v>77</v>
      </c>
      <c r="N892" t="s">
        <v>1830</v>
      </c>
    </row>
    <row r="893" spans="1:14" x14ac:dyDescent="0.25">
      <c r="A893" t="s">
        <v>1831</v>
      </c>
      <c r="B893" s="10">
        <v>46208</v>
      </c>
      <c r="C893" t="str">
        <f t="shared" si="14"/>
        <v>July</v>
      </c>
      <c r="D893" t="s">
        <v>92</v>
      </c>
      <c r="E893" t="s">
        <v>93</v>
      </c>
      <c r="F893" t="s">
        <v>16</v>
      </c>
      <c r="G893" t="s">
        <v>65</v>
      </c>
      <c r="H893" t="s">
        <v>66</v>
      </c>
      <c r="I893" s="2">
        <v>10</v>
      </c>
      <c r="J893" s="2">
        <v>1500000</v>
      </c>
      <c r="K893" s="2">
        <v>15000000</v>
      </c>
      <c r="L893" s="3">
        <v>0</v>
      </c>
      <c r="M893" t="s">
        <v>31</v>
      </c>
      <c r="N893" t="s">
        <v>1832</v>
      </c>
    </row>
    <row r="894" spans="1:14" x14ac:dyDescent="0.25">
      <c r="A894" t="s">
        <v>1833</v>
      </c>
      <c r="B894" s="10">
        <v>46100</v>
      </c>
      <c r="C894" t="str">
        <f t="shared" si="14"/>
        <v>March</v>
      </c>
      <c r="D894" t="s">
        <v>92</v>
      </c>
      <c r="E894" t="s">
        <v>93</v>
      </c>
      <c r="F894" t="s">
        <v>16</v>
      </c>
      <c r="G894" t="s">
        <v>65</v>
      </c>
      <c r="H894" t="s">
        <v>66</v>
      </c>
      <c r="I894" s="2">
        <v>4</v>
      </c>
      <c r="J894" s="2">
        <v>1500000</v>
      </c>
      <c r="K894" s="2">
        <v>6000000</v>
      </c>
      <c r="L894" s="3">
        <v>0.05</v>
      </c>
      <c r="M894" t="s">
        <v>19</v>
      </c>
      <c r="N894" t="s">
        <v>1834</v>
      </c>
    </row>
    <row r="895" spans="1:14" x14ac:dyDescent="0.25">
      <c r="A895" t="s">
        <v>1835</v>
      </c>
      <c r="B895" s="10">
        <v>46220</v>
      </c>
      <c r="C895" t="str">
        <f t="shared" si="14"/>
        <v>July</v>
      </c>
      <c r="D895" t="s">
        <v>58</v>
      </c>
      <c r="E895" t="s">
        <v>59</v>
      </c>
      <c r="F895" t="s">
        <v>28</v>
      </c>
      <c r="G895" t="s">
        <v>22</v>
      </c>
      <c r="H895" t="s">
        <v>23</v>
      </c>
      <c r="I895" s="2">
        <v>9</v>
      </c>
      <c r="J895" s="2">
        <v>5500000</v>
      </c>
      <c r="K895" s="2">
        <v>49500000</v>
      </c>
      <c r="L895" s="3">
        <v>0.05</v>
      </c>
      <c r="M895" t="s">
        <v>19</v>
      </c>
      <c r="N895" t="s">
        <v>1836</v>
      </c>
    </row>
    <row r="896" spans="1:14" x14ac:dyDescent="0.25">
      <c r="A896" t="s">
        <v>1837</v>
      </c>
      <c r="B896" s="10">
        <v>46140</v>
      </c>
      <c r="C896" t="str">
        <f t="shared" si="14"/>
        <v>April</v>
      </c>
      <c r="D896" t="s">
        <v>46</v>
      </c>
      <c r="E896" t="s">
        <v>47</v>
      </c>
      <c r="F896" t="s">
        <v>48</v>
      </c>
      <c r="G896" t="s">
        <v>29</v>
      </c>
      <c r="H896" t="s">
        <v>30</v>
      </c>
      <c r="I896" s="2">
        <v>3</v>
      </c>
      <c r="J896" s="2">
        <v>750000</v>
      </c>
      <c r="K896" s="2">
        <v>2250000</v>
      </c>
      <c r="L896" s="3">
        <v>0.1</v>
      </c>
      <c r="M896" t="s">
        <v>19</v>
      </c>
      <c r="N896" t="s">
        <v>1838</v>
      </c>
    </row>
    <row r="897" spans="1:14" x14ac:dyDescent="0.25">
      <c r="A897" t="s">
        <v>1839</v>
      </c>
      <c r="B897" s="10">
        <v>46086</v>
      </c>
      <c r="C897" t="str">
        <f t="shared" si="14"/>
        <v>March</v>
      </c>
      <c r="D897" t="s">
        <v>26</v>
      </c>
      <c r="E897" t="s">
        <v>27</v>
      </c>
      <c r="F897" t="s">
        <v>28</v>
      </c>
      <c r="G897" t="s">
        <v>65</v>
      </c>
      <c r="H897" t="s">
        <v>66</v>
      </c>
      <c r="I897" s="2">
        <v>13</v>
      </c>
      <c r="J897" s="2">
        <v>2500000</v>
      </c>
      <c r="K897" s="2">
        <v>32500000</v>
      </c>
      <c r="L897" s="3">
        <v>0.1</v>
      </c>
      <c r="M897" t="s">
        <v>19</v>
      </c>
      <c r="N897" t="s">
        <v>1840</v>
      </c>
    </row>
    <row r="898" spans="1:14" x14ac:dyDescent="0.25">
      <c r="A898" t="s">
        <v>1841</v>
      </c>
      <c r="B898" s="10">
        <v>46125</v>
      </c>
      <c r="C898" t="str">
        <f t="shared" si="14"/>
        <v>April</v>
      </c>
      <c r="D898" t="s">
        <v>26</v>
      </c>
      <c r="E898" t="s">
        <v>27</v>
      </c>
      <c r="F898" t="s">
        <v>28</v>
      </c>
      <c r="G898" t="s">
        <v>17</v>
      </c>
      <c r="H898" t="s">
        <v>18</v>
      </c>
      <c r="I898" s="2">
        <v>12</v>
      </c>
      <c r="J898" s="2">
        <v>2500000</v>
      </c>
      <c r="K898" s="2">
        <v>30000000</v>
      </c>
      <c r="L898" s="3">
        <v>0.1</v>
      </c>
      <c r="M898" t="s">
        <v>77</v>
      </c>
      <c r="N898" t="s">
        <v>1842</v>
      </c>
    </row>
    <row r="899" spans="1:14" x14ac:dyDescent="0.25">
      <c r="A899" t="s">
        <v>1843</v>
      </c>
      <c r="B899" s="10">
        <v>46147</v>
      </c>
      <c r="C899" t="str">
        <f t="shared" ref="C899:C962" si="15">TEXT(B899, "MMMM")</f>
        <v>May</v>
      </c>
      <c r="D899" t="s">
        <v>14</v>
      </c>
      <c r="E899" t="s">
        <v>15</v>
      </c>
      <c r="F899" t="s">
        <v>16</v>
      </c>
      <c r="G899" t="s">
        <v>22</v>
      </c>
      <c r="H899" t="s">
        <v>23</v>
      </c>
      <c r="I899" s="2">
        <v>11</v>
      </c>
      <c r="J899" s="2">
        <v>3500000</v>
      </c>
      <c r="K899" s="2">
        <v>38500000</v>
      </c>
      <c r="L899" s="3">
        <v>0.1</v>
      </c>
      <c r="M899" t="s">
        <v>19</v>
      </c>
      <c r="N899" t="s">
        <v>1844</v>
      </c>
    </row>
    <row r="900" spans="1:14" x14ac:dyDescent="0.25">
      <c r="A900" t="s">
        <v>1845</v>
      </c>
      <c r="B900" s="10">
        <v>46229</v>
      </c>
      <c r="C900" t="str">
        <f t="shared" si="15"/>
        <v>July</v>
      </c>
      <c r="D900" t="s">
        <v>34</v>
      </c>
      <c r="E900" t="s">
        <v>35</v>
      </c>
      <c r="F900" t="s">
        <v>36</v>
      </c>
      <c r="G900" t="s">
        <v>17</v>
      </c>
      <c r="H900" t="s">
        <v>18</v>
      </c>
      <c r="I900" s="2">
        <v>13</v>
      </c>
      <c r="J900" s="2">
        <v>2000000</v>
      </c>
      <c r="K900" s="2">
        <v>26000000</v>
      </c>
      <c r="L900" s="3">
        <v>0</v>
      </c>
      <c r="M900" t="s">
        <v>19</v>
      </c>
      <c r="N900" t="s">
        <v>1846</v>
      </c>
    </row>
    <row r="901" spans="1:14" x14ac:dyDescent="0.25">
      <c r="A901" t="s">
        <v>1847</v>
      </c>
      <c r="B901" s="10">
        <v>46232</v>
      </c>
      <c r="C901" t="str">
        <f t="shared" si="15"/>
        <v>July</v>
      </c>
      <c r="D901" t="s">
        <v>34</v>
      </c>
      <c r="E901" t="s">
        <v>35</v>
      </c>
      <c r="F901" t="s">
        <v>36</v>
      </c>
      <c r="G901" t="s">
        <v>42</v>
      </c>
      <c r="H901" t="s">
        <v>43</v>
      </c>
      <c r="I901" s="2">
        <v>15</v>
      </c>
      <c r="J901" s="2">
        <v>2000000</v>
      </c>
      <c r="K901" s="2">
        <v>30000000</v>
      </c>
      <c r="L901" s="3">
        <v>0</v>
      </c>
      <c r="M901" t="s">
        <v>19</v>
      </c>
      <c r="N901" t="s">
        <v>1848</v>
      </c>
    </row>
    <row r="902" spans="1:14" x14ac:dyDescent="0.25">
      <c r="A902" t="s">
        <v>1849</v>
      </c>
      <c r="B902" s="10">
        <v>46190</v>
      </c>
      <c r="C902" t="str">
        <f t="shared" si="15"/>
        <v>June</v>
      </c>
      <c r="D902" t="s">
        <v>92</v>
      </c>
      <c r="E902" t="s">
        <v>93</v>
      </c>
      <c r="F902" t="s">
        <v>16</v>
      </c>
      <c r="G902" t="s">
        <v>42</v>
      </c>
      <c r="H902" t="s">
        <v>43</v>
      </c>
      <c r="I902" s="2">
        <v>1</v>
      </c>
      <c r="J902" s="2">
        <v>1500000</v>
      </c>
      <c r="K902" s="2">
        <v>1500000</v>
      </c>
      <c r="L902" s="3">
        <v>0.1</v>
      </c>
      <c r="M902" t="s">
        <v>31</v>
      </c>
      <c r="N902" t="s">
        <v>1850</v>
      </c>
    </row>
    <row r="903" spans="1:14" x14ac:dyDescent="0.25">
      <c r="A903" t="s">
        <v>1851</v>
      </c>
      <c r="B903" s="10">
        <v>46104</v>
      </c>
      <c r="C903" t="str">
        <f t="shared" si="15"/>
        <v>March</v>
      </c>
      <c r="D903" t="s">
        <v>39</v>
      </c>
      <c r="E903" t="s">
        <v>40</v>
      </c>
      <c r="F903" t="s">
        <v>41</v>
      </c>
      <c r="G903" t="s">
        <v>65</v>
      </c>
      <c r="H903" t="s">
        <v>66</v>
      </c>
      <c r="I903" s="2">
        <v>9</v>
      </c>
      <c r="J903" s="2">
        <v>12000000</v>
      </c>
      <c r="K903" s="2">
        <v>108000000</v>
      </c>
      <c r="L903" s="3">
        <v>0.05</v>
      </c>
      <c r="M903" t="s">
        <v>19</v>
      </c>
      <c r="N903" t="s">
        <v>1852</v>
      </c>
    </row>
    <row r="904" spans="1:14" x14ac:dyDescent="0.25">
      <c r="A904" t="s">
        <v>1853</v>
      </c>
      <c r="B904" s="10">
        <v>46195</v>
      </c>
      <c r="C904" t="str">
        <f t="shared" si="15"/>
        <v>June</v>
      </c>
      <c r="D904" t="s">
        <v>34</v>
      </c>
      <c r="E904" t="s">
        <v>35</v>
      </c>
      <c r="F904" t="s">
        <v>36</v>
      </c>
      <c r="G904" t="s">
        <v>42</v>
      </c>
      <c r="H904" t="s">
        <v>43</v>
      </c>
      <c r="I904" s="2">
        <v>13</v>
      </c>
      <c r="J904" s="2">
        <v>2000000</v>
      </c>
      <c r="K904" s="2">
        <v>26000000</v>
      </c>
      <c r="L904" s="3">
        <v>0</v>
      </c>
      <c r="M904" t="s">
        <v>19</v>
      </c>
      <c r="N904" t="s">
        <v>1854</v>
      </c>
    </row>
    <row r="905" spans="1:14" x14ac:dyDescent="0.25">
      <c r="A905" t="s">
        <v>1855</v>
      </c>
      <c r="B905" s="10">
        <v>46097</v>
      </c>
      <c r="C905" t="str">
        <f t="shared" si="15"/>
        <v>March</v>
      </c>
      <c r="D905" t="s">
        <v>34</v>
      </c>
      <c r="E905" t="s">
        <v>35</v>
      </c>
      <c r="F905" t="s">
        <v>36</v>
      </c>
      <c r="G905" t="s">
        <v>29</v>
      </c>
      <c r="H905" t="s">
        <v>30</v>
      </c>
      <c r="I905" s="2">
        <v>3</v>
      </c>
      <c r="J905" s="2">
        <v>2000000</v>
      </c>
      <c r="K905" s="2">
        <v>6000000</v>
      </c>
      <c r="L905" s="3">
        <v>0.1</v>
      </c>
      <c r="M905" t="s">
        <v>19</v>
      </c>
      <c r="N905" t="s">
        <v>1856</v>
      </c>
    </row>
    <row r="906" spans="1:14" x14ac:dyDescent="0.25">
      <c r="A906" t="s">
        <v>1857</v>
      </c>
      <c r="B906" s="10">
        <v>46169</v>
      </c>
      <c r="C906" t="str">
        <f t="shared" si="15"/>
        <v>May</v>
      </c>
      <c r="D906" t="s">
        <v>92</v>
      </c>
      <c r="E906" t="s">
        <v>93</v>
      </c>
      <c r="F906" t="s">
        <v>16</v>
      </c>
      <c r="G906" t="s">
        <v>22</v>
      </c>
      <c r="H906" t="s">
        <v>23</v>
      </c>
      <c r="I906" s="2">
        <v>7</v>
      </c>
      <c r="J906" s="2">
        <v>1500000</v>
      </c>
      <c r="K906" s="2">
        <v>10500000</v>
      </c>
      <c r="L906" s="3">
        <v>0.1</v>
      </c>
      <c r="M906" t="s">
        <v>19</v>
      </c>
      <c r="N906" t="s">
        <v>1858</v>
      </c>
    </row>
    <row r="907" spans="1:14" x14ac:dyDescent="0.25">
      <c r="A907" t="s">
        <v>1859</v>
      </c>
      <c r="B907" s="10">
        <v>46151</v>
      </c>
      <c r="C907" t="str">
        <f t="shared" si="15"/>
        <v>May</v>
      </c>
      <c r="D907" t="s">
        <v>34</v>
      </c>
      <c r="E907" t="s">
        <v>35</v>
      </c>
      <c r="F907" t="s">
        <v>36</v>
      </c>
      <c r="G907" t="s">
        <v>29</v>
      </c>
      <c r="H907" t="s">
        <v>30</v>
      </c>
      <c r="I907" s="2">
        <v>13</v>
      </c>
      <c r="J907" s="2">
        <v>2000000</v>
      </c>
      <c r="K907" s="2">
        <v>26000000</v>
      </c>
      <c r="L907" s="3">
        <v>0.05</v>
      </c>
      <c r="M907" t="s">
        <v>77</v>
      </c>
      <c r="N907" t="s">
        <v>1860</v>
      </c>
    </row>
    <row r="908" spans="1:14" x14ac:dyDescent="0.25">
      <c r="A908" t="s">
        <v>1861</v>
      </c>
      <c r="B908" s="10">
        <v>46073</v>
      </c>
      <c r="C908" t="str">
        <f t="shared" si="15"/>
        <v>February</v>
      </c>
      <c r="D908" t="s">
        <v>62</v>
      </c>
      <c r="E908" t="s">
        <v>63</v>
      </c>
      <c r="F908" t="s">
        <v>64</v>
      </c>
      <c r="G908" t="s">
        <v>42</v>
      </c>
      <c r="H908" t="s">
        <v>43</v>
      </c>
      <c r="I908" s="2">
        <v>11</v>
      </c>
      <c r="J908" s="2">
        <v>4000000</v>
      </c>
      <c r="K908" s="2">
        <v>44000000</v>
      </c>
      <c r="L908" s="3">
        <v>0.05</v>
      </c>
      <c r="M908" t="s">
        <v>31</v>
      </c>
      <c r="N908" t="s">
        <v>1862</v>
      </c>
    </row>
    <row r="909" spans="1:14" x14ac:dyDescent="0.25">
      <c r="A909" t="s">
        <v>1863</v>
      </c>
      <c r="B909" s="10">
        <v>46211</v>
      </c>
      <c r="C909" t="str">
        <f t="shared" si="15"/>
        <v>July</v>
      </c>
      <c r="D909" t="s">
        <v>26</v>
      </c>
      <c r="E909" t="s">
        <v>27</v>
      </c>
      <c r="F909" t="s">
        <v>28</v>
      </c>
      <c r="G909" t="s">
        <v>29</v>
      </c>
      <c r="H909" t="s">
        <v>30</v>
      </c>
      <c r="I909" s="2">
        <v>2</v>
      </c>
      <c r="J909" s="2">
        <v>2500000</v>
      </c>
      <c r="K909" s="2">
        <v>5000000</v>
      </c>
      <c r="L909" s="3">
        <v>0.1</v>
      </c>
      <c r="M909" t="s">
        <v>77</v>
      </c>
      <c r="N909" t="s">
        <v>1864</v>
      </c>
    </row>
    <row r="910" spans="1:14" x14ac:dyDescent="0.25">
      <c r="A910" t="s">
        <v>1865</v>
      </c>
      <c r="B910" s="10">
        <v>46198</v>
      </c>
      <c r="C910" t="str">
        <f t="shared" si="15"/>
        <v>June</v>
      </c>
      <c r="D910" t="s">
        <v>14</v>
      </c>
      <c r="E910" t="s">
        <v>15</v>
      </c>
      <c r="F910" t="s">
        <v>16</v>
      </c>
      <c r="G910" t="s">
        <v>17</v>
      </c>
      <c r="H910" t="s">
        <v>18</v>
      </c>
      <c r="I910" s="2">
        <v>11</v>
      </c>
      <c r="J910" s="2">
        <v>3500000</v>
      </c>
      <c r="K910" s="2">
        <v>38500000</v>
      </c>
      <c r="L910" s="3">
        <v>0.15</v>
      </c>
      <c r="M910" t="s">
        <v>77</v>
      </c>
      <c r="N910" t="s">
        <v>1866</v>
      </c>
    </row>
    <row r="911" spans="1:14" x14ac:dyDescent="0.25">
      <c r="A911" t="s">
        <v>1867</v>
      </c>
      <c r="B911" s="10">
        <v>46112</v>
      </c>
      <c r="C911" t="str">
        <f t="shared" si="15"/>
        <v>March</v>
      </c>
      <c r="D911" t="s">
        <v>26</v>
      </c>
      <c r="E911" t="s">
        <v>27</v>
      </c>
      <c r="F911" t="s">
        <v>28</v>
      </c>
      <c r="G911" t="s">
        <v>65</v>
      </c>
      <c r="H911" t="s">
        <v>66</v>
      </c>
      <c r="I911" s="2">
        <v>6</v>
      </c>
      <c r="J911" s="2">
        <v>2500000</v>
      </c>
      <c r="K911" s="2">
        <v>15000000</v>
      </c>
      <c r="L911" s="3">
        <v>0</v>
      </c>
      <c r="M911" t="s">
        <v>19</v>
      </c>
      <c r="N911" t="s">
        <v>1868</v>
      </c>
    </row>
    <row r="912" spans="1:14" x14ac:dyDescent="0.25">
      <c r="A912" t="s">
        <v>1869</v>
      </c>
      <c r="B912" s="10">
        <v>46112</v>
      </c>
      <c r="C912" t="str">
        <f t="shared" si="15"/>
        <v>March</v>
      </c>
      <c r="D912" t="s">
        <v>62</v>
      </c>
      <c r="E912" t="s">
        <v>63</v>
      </c>
      <c r="F912" t="s">
        <v>64</v>
      </c>
      <c r="G912" t="s">
        <v>22</v>
      </c>
      <c r="H912" t="s">
        <v>23</v>
      </c>
      <c r="I912" s="2">
        <v>3</v>
      </c>
      <c r="J912" s="2">
        <v>4000000</v>
      </c>
      <c r="K912" s="2">
        <v>12000000</v>
      </c>
      <c r="L912" s="3">
        <v>0.15</v>
      </c>
      <c r="M912" t="s">
        <v>19</v>
      </c>
      <c r="N912" t="s">
        <v>1870</v>
      </c>
    </row>
    <row r="913" spans="1:14" x14ac:dyDescent="0.25">
      <c r="A913" t="s">
        <v>1871</v>
      </c>
      <c r="B913" s="10">
        <v>46082</v>
      </c>
      <c r="C913" t="str">
        <f t="shared" si="15"/>
        <v>March</v>
      </c>
      <c r="D913" t="s">
        <v>26</v>
      </c>
      <c r="E913" t="s">
        <v>27</v>
      </c>
      <c r="F913" t="s">
        <v>28</v>
      </c>
      <c r="G913" t="s">
        <v>65</v>
      </c>
      <c r="H913" t="s">
        <v>66</v>
      </c>
      <c r="I913" s="2">
        <v>3</v>
      </c>
      <c r="J913" s="2">
        <v>2500000</v>
      </c>
      <c r="K913" s="2">
        <v>7500000</v>
      </c>
      <c r="L913" s="3">
        <v>0</v>
      </c>
      <c r="M913" t="s">
        <v>19</v>
      </c>
      <c r="N913" t="s">
        <v>1872</v>
      </c>
    </row>
    <row r="914" spans="1:14" x14ac:dyDescent="0.25">
      <c r="A914" t="s">
        <v>1873</v>
      </c>
      <c r="B914" s="10">
        <v>46036</v>
      </c>
      <c r="C914" t="str">
        <f t="shared" si="15"/>
        <v>January</v>
      </c>
      <c r="D914" t="s">
        <v>26</v>
      </c>
      <c r="E914" t="s">
        <v>27</v>
      </c>
      <c r="F914" t="s">
        <v>28</v>
      </c>
      <c r="G914" t="s">
        <v>22</v>
      </c>
      <c r="H914" t="s">
        <v>23</v>
      </c>
      <c r="I914" s="2">
        <v>15</v>
      </c>
      <c r="J914" s="2">
        <v>2500000</v>
      </c>
      <c r="K914" s="2">
        <v>37500000</v>
      </c>
      <c r="L914" s="3">
        <v>0.05</v>
      </c>
      <c r="M914" t="s">
        <v>19</v>
      </c>
      <c r="N914" t="s">
        <v>1874</v>
      </c>
    </row>
    <row r="915" spans="1:14" x14ac:dyDescent="0.25">
      <c r="A915" t="s">
        <v>1875</v>
      </c>
      <c r="B915" s="10">
        <v>46110</v>
      </c>
      <c r="C915" t="str">
        <f t="shared" si="15"/>
        <v>March</v>
      </c>
      <c r="D915" t="s">
        <v>14</v>
      </c>
      <c r="E915" t="s">
        <v>15</v>
      </c>
      <c r="F915" t="s">
        <v>16</v>
      </c>
      <c r="G915" t="s">
        <v>65</v>
      </c>
      <c r="H915" t="s">
        <v>66</v>
      </c>
      <c r="I915" s="2">
        <v>8</v>
      </c>
      <c r="J915" s="2">
        <v>3500000</v>
      </c>
      <c r="K915" s="2">
        <v>28000000</v>
      </c>
      <c r="L915" s="3">
        <v>0.15</v>
      </c>
      <c r="M915" t="s">
        <v>19</v>
      </c>
      <c r="N915" t="s">
        <v>1876</v>
      </c>
    </row>
    <row r="916" spans="1:14" x14ac:dyDescent="0.25">
      <c r="A916" t="s">
        <v>1877</v>
      </c>
      <c r="B916" s="10">
        <v>46076</v>
      </c>
      <c r="C916" t="str">
        <f t="shared" si="15"/>
        <v>February</v>
      </c>
      <c r="D916" t="s">
        <v>26</v>
      </c>
      <c r="E916" t="s">
        <v>27</v>
      </c>
      <c r="F916" t="s">
        <v>28</v>
      </c>
      <c r="G916" t="s">
        <v>29</v>
      </c>
      <c r="H916" t="s">
        <v>30</v>
      </c>
      <c r="I916" s="2">
        <v>9</v>
      </c>
      <c r="J916" s="2">
        <v>2500000</v>
      </c>
      <c r="K916" s="2">
        <v>22500000</v>
      </c>
      <c r="L916" s="3">
        <v>0.1</v>
      </c>
      <c r="M916" t="s">
        <v>31</v>
      </c>
      <c r="N916" t="s">
        <v>1878</v>
      </c>
    </row>
    <row r="917" spans="1:14" x14ac:dyDescent="0.25">
      <c r="A917" t="s">
        <v>1879</v>
      </c>
      <c r="B917" s="10">
        <v>46182</v>
      </c>
      <c r="C917" t="str">
        <f t="shared" si="15"/>
        <v>June</v>
      </c>
      <c r="D917" t="s">
        <v>39</v>
      </c>
      <c r="E917" t="s">
        <v>40</v>
      </c>
      <c r="F917" t="s">
        <v>41</v>
      </c>
      <c r="G917" t="s">
        <v>17</v>
      </c>
      <c r="H917" t="s">
        <v>18</v>
      </c>
      <c r="I917" s="2">
        <v>7</v>
      </c>
      <c r="J917" s="2">
        <v>12000000</v>
      </c>
      <c r="K917" s="2">
        <v>84000000</v>
      </c>
      <c r="L917" s="3">
        <v>0</v>
      </c>
      <c r="M917" t="s">
        <v>19</v>
      </c>
      <c r="N917" t="s">
        <v>1880</v>
      </c>
    </row>
    <row r="918" spans="1:14" x14ac:dyDescent="0.25">
      <c r="A918" t="s">
        <v>1881</v>
      </c>
      <c r="B918" s="10">
        <v>46038</v>
      </c>
      <c r="C918" t="str">
        <f t="shared" si="15"/>
        <v>January</v>
      </c>
      <c r="D918" t="s">
        <v>58</v>
      </c>
      <c r="E918" t="s">
        <v>59</v>
      </c>
      <c r="F918" t="s">
        <v>28</v>
      </c>
      <c r="G918" t="s">
        <v>29</v>
      </c>
      <c r="H918" t="s">
        <v>30</v>
      </c>
      <c r="I918" s="2">
        <v>13</v>
      </c>
      <c r="J918" s="2">
        <v>5500000</v>
      </c>
      <c r="K918" s="2">
        <v>71500000</v>
      </c>
      <c r="L918" s="3">
        <v>0.1</v>
      </c>
      <c r="M918" t="s">
        <v>19</v>
      </c>
      <c r="N918" t="s">
        <v>1882</v>
      </c>
    </row>
    <row r="919" spans="1:14" x14ac:dyDescent="0.25">
      <c r="A919" t="s">
        <v>1883</v>
      </c>
      <c r="B919" s="10">
        <v>46190</v>
      </c>
      <c r="C919" t="str">
        <f t="shared" si="15"/>
        <v>June</v>
      </c>
      <c r="D919" t="s">
        <v>92</v>
      </c>
      <c r="E919" t="s">
        <v>93</v>
      </c>
      <c r="F919" t="s">
        <v>16</v>
      </c>
      <c r="G919" t="s">
        <v>17</v>
      </c>
      <c r="H919" t="s">
        <v>18</v>
      </c>
      <c r="I919" s="2">
        <v>7</v>
      </c>
      <c r="J919" s="2">
        <v>1500000</v>
      </c>
      <c r="K919" s="2">
        <v>10500000</v>
      </c>
      <c r="L919" s="3">
        <v>0.1</v>
      </c>
      <c r="M919" t="s">
        <v>51</v>
      </c>
      <c r="N919" t="s">
        <v>1884</v>
      </c>
    </row>
    <row r="920" spans="1:14" x14ac:dyDescent="0.25">
      <c r="A920" t="s">
        <v>1885</v>
      </c>
      <c r="B920" s="10">
        <v>46191</v>
      </c>
      <c r="C920" t="str">
        <f t="shared" si="15"/>
        <v>June</v>
      </c>
      <c r="D920" t="s">
        <v>46</v>
      </c>
      <c r="E920" t="s">
        <v>47</v>
      </c>
      <c r="F920" t="s">
        <v>48</v>
      </c>
      <c r="G920" t="s">
        <v>17</v>
      </c>
      <c r="H920" t="s">
        <v>18</v>
      </c>
      <c r="I920" s="2">
        <v>1</v>
      </c>
      <c r="J920" s="2">
        <v>750000</v>
      </c>
      <c r="K920" s="2">
        <v>750000</v>
      </c>
      <c r="L920" s="3">
        <v>0.1</v>
      </c>
      <c r="M920" t="s">
        <v>51</v>
      </c>
      <c r="N920" t="s">
        <v>1886</v>
      </c>
    </row>
    <row r="921" spans="1:14" x14ac:dyDescent="0.25">
      <c r="A921" t="s">
        <v>1887</v>
      </c>
      <c r="B921" s="10">
        <v>46082</v>
      </c>
      <c r="C921" t="str">
        <f t="shared" si="15"/>
        <v>March</v>
      </c>
      <c r="D921" t="s">
        <v>34</v>
      </c>
      <c r="E921" t="s">
        <v>35</v>
      </c>
      <c r="F921" t="s">
        <v>36</v>
      </c>
      <c r="G921" t="s">
        <v>22</v>
      </c>
      <c r="H921" t="s">
        <v>23</v>
      </c>
      <c r="I921" s="2">
        <v>12</v>
      </c>
      <c r="J921" s="2">
        <v>2000000</v>
      </c>
      <c r="K921" s="2">
        <v>24000000</v>
      </c>
      <c r="L921" s="3">
        <v>0</v>
      </c>
      <c r="M921" t="s">
        <v>19</v>
      </c>
      <c r="N921" t="s">
        <v>1888</v>
      </c>
    </row>
    <row r="922" spans="1:14" x14ac:dyDescent="0.25">
      <c r="A922" t="s">
        <v>1889</v>
      </c>
      <c r="B922" s="10">
        <v>46175</v>
      </c>
      <c r="C922" t="str">
        <f t="shared" si="15"/>
        <v>June</v>
      </c>
      <c r="D922" t="s">
        <v>14</v>
      </c>
      <c r="E922" t="s">
        <v>15</v>
      </c>
      <c r="F922" t="s">
        <v>16</v>
      </c>
      <c r="G922" t="s">
        <v>29</v>
      </c>
      <c r="H922" t="s">
        <v>30</v>
      </c>
      <c r="I922" s="2">
        <v>4</v>
      </c>
      <c r="J922" s="2">
        <v>3500000</v>
      </c>
      <c r="K922" s="2">
        <v>14000000</v>
      </c>
      <c r="L922" s="3">
        <v>0.15</v>
      </c>
      <c r="M922" t="s">
        <v>31</v>
      </c>
      <c r="N922" t="s">
        <v>1890</v>
      </c>
    </row>
    <row r="923" spans="1:14" x14ac:dyDescent="0.25">
      <c r="A923" t="s">
        <v>1891</v>
      </c>
      <c r="B923" s="10">
        <v>46028</v>
      </c>
      <c r="C923" t="str">
        <f t="shared" si="15"/>
        <v>January</v>
      </c>
      <c r="D923" t="s">
        <v>92</v>
      </c>
      <c r="E923" t="s">
        <v>93</v>
      </c>
      <c r="F923" t="s">
        <v>16</v>
      </c>
      <c r="G923" t="s">
        <v>29</v>
      </c>
      <c r="H923" t="s">
        <v>30</v>
      </c>
      <c r="I923" s="2">
        <v>15</v>
      </c>
      <c r="J923" s="2">
        <v>1500000</v>
      </c>
      <c r="K923" s="2">
        <v>22500000</v>
      </c>
      <c r="L923" s="3">
        <v>0.1</v>
      </c>
      <c r="M923" t="s">
        <v>19</v>
      </c>
      <c r="N923" t="s">
        <v>1892</v>
      </c>
    </row>
    <row r="924" spans="1:14" x14ac:dyDescent="0.25">
      <c r="A924" t="s">
        <v>1893</v>
      </c>
      <c r="B924" s="10">
        <v>46123</v>
      </c>
      <c r="C924" t="str">
        <f t="shared" si="15"/>
        <v>April</v>
      </c>
      <c r="D924" t="s">
        <v>39</v>
      </c>
      <c r="E924" t="s">
        <v>40</v>
      </c>
      <c r="F924" t="s">
        <v>41</v>
      </c>
      <c r="G924" t="s">
        <v>17</v>
      </c>
      <c r="H924" t="s">
        <v>18</v>
      </c>
      <c r="I924" s="2">
        <v>6</v>
      </c>
      <c r="J924" s="2">
        <v>12000000</v>
      </c>
      <c r="K924" s="2">
        <v>72000000</v>
      </c>
      <c r="L924" s="3">
        <v>0.1</v>
      </c>
      <c r="M924" t="s">
        <v>19</v>
      </c>
      <c r="N924" t="s">
        <v>1894</v>
      </c>
    </row>
    <row r="925" spans="1:14" x14ac:dyDescent="0.25">
      <c r="A925" t="s">
        <v>1895</v>
      </c>
      <c r="B925" s="10">
        <v>46100</v>
      </c>
      <c r="C925" t="str">
        <f t="shared" si="15"/>
        <v>March</v>
      </c>
      <c r="D925" t="s">
        <v>26</v>
      </c>
      <c r="E925" t="s">
        <v>27</v>
      </c>
      <c r="F925" t="s">
        <v>28</v>
      </c>
      <c r="G925" t="s">
        <v>22</v>
      </c>
      <c r="H925" t="s">
        <v>23</v>
      </c>
      <c r="I925" s="2">
        <v>5</v>
      </c>
      <c r="J925" s="2">
        <v>2500000</v>
      </c>
      <c r="K925" s="2">
        <v>12500000</v>
      </c>
      <c r="L925" s="3">
        <v>0</v>
      </c>
      <c r="M925" t="s">
        <v>51</v>
      </c>
      <c r="N925" t="s">
        <v>1896</v>
      </c>
    </row>
    <row r="926" spans="1:14" x14ac:dyDescent="0.25">
      <c r="A926" t="s">
        <v>1897</v>
      </c>
      <c r="B926" s="10">
        <v>46122</v>
      </c>
      <c r="C926" t="str">
        <f t="shared" si="15"/>
        <v>April</v>
      </c>
      <c r="D926" t="s">
        <v>92</v>
      </c>
      <c r="E926" t="s">
        <v>93</v>
      </c>
      <c r="F926" t="s">
        <v>16</v>
      </c>
      <c r="G926" t="s">
        <v>22</v>
      </c>
      <c r="H926" t="s">
        <v>23</v>
      </c>
      <c r="I926" s="2">
        <v>5</v>
      </c>
      <c r="J926" s="2">
        <v>1500000</v>
      </c>
      <c r="K926" s="2">
        <v>7500000</v>
      </c>
      <c r="L926" s="3">
        <v>0.05</v>
      </c>
      <c r="M926" t="s">
        <v>19</v>
      </c>
      <c r="N926" t="s">
        <v>1898</v>
      </c>
    </row>
    <row r="927" spans="1:14" x14ac:dyDescent="0.25">
      <c r="A927" t="s">
        <v>1899</v>
      </c>
      <c r="B927" s="10">
        <v>46123</v>
      </c>
      <c r="C927" t="str">
        <f t="shared" si="15"/>
        <v>April</v>
      </c>
      <c r="D927" t="s">
        <v>39</v>
      </c>
      <c r="E927" t="s">
        <v>40</v>
      </c>
      <c r="F927" t="s">
        <v>41</v>
      </c>
      <c r="G927" t="s">
        <v>17</v>
      </c>
      <c r="H927" t="s">
        <v>18</v>
      </c>
      <c r="I927" s="2">
        <v>12</v>
      </c>
      <c r="J927" s="2">
        <v>12000000</v>
      </c>
      <c r="K927" s="2">
        <v>144000000</v>
      </c>
      <c r="L927" s="3">
        <v>0.15</v>
      </c>
      <c r="M927" t="s">
        <v>31</v>
      </c>
      <c r="N927" t="s">
        <v>1900</v>
      </c>
    </row>
    <row r="928" spans="1:14" x14ac:dyDescent="0.25">
      <c r="A928" t="s">
        <v>1901</v>
      </c>
      <c r="B928" s="10">
        <v>46179</v>
      </c>
      <c r="C928" t="str">
        <f t="shared" si="15"/>
        <v>June</v>
      </c>
      <c r="D928" t="s">
        <v>26</v>
      </c>
      <c r="E928" t="s">
        <v>27</v>
      </c>
      <c r="F928" t="s">
        <v>28</v>
      </c>
      <c r="G928" t="s">
        <v>42</v>
      </c>
      <c r="H928" t="s">
        <v>43</v>
      </c>
      <c r="I928" s="2">
        <v>4</v>
      </c>
      <c r="J928" s="2">
        <v>2500000</v>
      </c>
      <c r="K928" s="2">
        <v>10000000</v>
      </c>
      <c r="L928" s="3">
        <v>0.05</v>
      </c>
      <c r="M928" t="s">
        <v>77</v>
      </c>
      <c r="N928" t="s">
        <v>1902</v>
      </c>
    </row>
    <row r="929" spans="1:14" x14ac:dyDescent="0.25">
      <c r="A929" t="s">
        <v>1903</v>
      </c>
      <c r="B929" s="10">
        <v>46177</v>
      </c>
      <c r="C929" t="str">
        <f t="shared" si="15"/>
        <v>June</v>
      </c>
      <c r="D929" t="s">
        <v>46</v>
      </c>
      <c r="E929" t="s">
        <v>47</v>
      </c>
      <c r="F929" t="s">
        <v>48</v>
      </c>
      <c r="G929" t="s">
        <v>42</v>
      </c>
      <c r="H929" t="s">
        <v>43</v>
      </c>
      <c r="I929" s="2">
        <v>9</v>
      </c>
      <c r="J929" s="2">
        <v>750000</v>
      </c>
      <c r="K929" s="2">
        <v>6750000</v>
      </c>
      <c r="L929" s="3">
        <v>0.05</v>
      </c>
      <c r="M929" t="s">
        <v>19</v>
      </c>
      <c r="N929" t="s">
        <v>1904</v>
      </c>
    </row>
    <row r="930" spans="1:14" x14ac:dyDescent="0.25">
      <c r="A930" t="s">
        <v>1905</v>
      </c>
      <c r="B930" s="10">
        <v>46058</v>
      </c>
      <c r="C930" t="str">
        <f t="shared" si="15"/>
        <v>February</v>
      </c>
      <c r="D930" t="s">
        <v>26</v>
      </c>
      <c r="E930" t="s">
        <v>27</v>
      </c>
      <c r="F930" t="s">
        <v>28</v>
      </c>
      <c r="G930" t="s">
        <v>29</v>
      </c>
      <c r="H930" t="s">
        <v>30</v>
      </c>
      <c r="I930" s="2">
        <v>5</v>
      </c>
      <c r="J930" s="2">
        <v>2500000</v>
      </c>
      <c r="K930" s="2">
        <v>12500000</v>
      </c>
      <c r="L930" s="3">
        <v>0.05</v>
      </c>
      <c r="M930" t="s">
        <v>77</v>
      </c>
      <c r="N930" t="s">
        <v>1906</v>
      </c>
    </row>
    <row r="931" spans="1:14" x14ac:dyDescent="0.25">
      <c r="A931" t="s">
        <v>1907</v>
      </c>
      <c r="B931" s="10">
        <v>46060</v>
      </c>
      <c r="C931" t="str">
        <f t="shared" si="15"/>
        <v>February</v>
      </c>
      <c r="D931" t="s">
        <v>39</v>
      </c>
      <c r="E931" t="s">
        <v>40</v>
      </c>
      <c r="F931" t="s">
        <v>41</v>
      </c>
      <c r="G931" t="s">
        <v>65</v>
      </c>
      <c r="H931" t="s">
        <v>66</v>
      </c>
      <c r="I931" s="2">
        <v>2</v>
      </c>
      <c r="J931" s="2">
        <v>12000000</v>
      </c>
      <c r="K931" s="2">
        <v>24000000</v>
      </c>
      <c r="L931" s="3">
        <v>0</v>
      </c>
      <c r="M931" t="s">
        <v>19</v>
      </c>
      <c r="N931" t="s">
        <v>1908</v>
      </c>
    </row>
    <row r="932" spans="1:14" x14ac:dyDescent="0.25">
      <c r="A932" t="s">
        <v>1909</v>
      </c>
      <c r="B932" s="10">
        <v>46237</v>
      </c>
      <c r="C932" t="str">
        <f t="shared" si="15"/>
        <v>August</v>
      </c>
      <c r="D932" t="s">
        <v>39</v>
      </c>
      <c r="E932" t="s">
        <v>40</v>
      </c>
      <c r="F932" t="s">
        <v>41</v>
      </c>
      <c r="G932" t="s">
        <v>17</v>
      </c>
      <c r="H932" t="s">
        <v>18</v>
      </c>
      <c r="I932" s="2">
        <v>13</v>
      </c>
      <c r="J932" s="2">
        <v>12000000</v>
      </c>
      <c r="K932" s="2">
        <v>156000000</v>
      </c>
      <c r="L932" s="3">
        <v>0.1</v>
      </c>
      <c r="M932" t="s">
        <v>77</v>
      </c>
      <c r="N932" t="s">
        <v>1910</v>
      </c>
    </row>
    <row r="933" spans="1:14" x14ac:dyDescent="0.25">
      <c r="A933" t="s">
        <v>1911</v>
      </c>
      <c r="B933" s="10">
        <v>46100</v>
      </c>
      <c r="C933" t="str">
        <f t="shared" si="15"/>
        <v>March</v>
      </c>
      <c r="D933" t="s">
        <v>62</v>
      </c>
      <c r="E933" t="s">
        <v>63</v>
      </c>
      <c r="F933" t="s">
        <v>64</v>
      </c>
      <c r="G933" t="s">
        <v>65</v>
      </c>
      <c r="H933" t="s">
        <v>66</v>
      </c>
      <c r="I933" s="2">
        <v>3</v>
      </c>
      <c r="J933" s="2">
        <v>4000000</v>
      </c>
      <c r="K933" s="2">
        <v>12000000</v>
      </c>
      <c r="L933" s="3">
        <v>0.05</v>
      </c>
      <c r="M933" t="s">
        <v>19</v>
      </c>
      <c r="N933" t="s">
        <v>1912</v>
      </c>
    </row>
    <row r="934" spans="1:14" x14ac:dyDescent="0.25">
      <c r="A934" t="s">
        <v>1913</v>
      </c>
      <c r="B934" s="10">
        <v>46070</v>
      </c>
      <c r="C934" t="str">
        <f t="shared" si="15"/>
        <v>February</v>
      </c>
      <c r="D934" t="s">
        <v>92</v>
      </c>
      <c r="E934" t="s">
        <v>93</v>
      </c>
      <c r="F934" t="s">
        <v>16</v>
      </c>
      <c r="G934" t="s">
        <v>22</v>
      </c>
      <c r="H934" t="s">
        <v>23</v>
      </c>
      <c r="I934" s="2">
        <v>10</v>
      </c>
      <c r="J934" s="2">
        <v>1500000</v>
      </c>
      <c r="K934" s="2">
        <v>15000000</v>
      </c>
      <c r="L934" s="3">
        <v>0.1</v>
      </c>
      <c r="M934" t="s">
        <v>31</v>
      </c>
      <c r="N934" t="s">
        <v>1914</v>
      </c>
    </row>
    <row r="935" spans="1:14" x14ac:dyDescent="0.25">
      <c r="A935" t="s">
        <v>1915</v>
      </c>
      <c r="B935" s="10">
        <v>46179</v>
      </c>
      <c r="C935" t="str">
        <f t="shared" si="15"/>
        <v>June</v>
      </c>
      <c r="D935" t="s">
        <v>26</v>
      </c>
      <c r="E935" t="s">
        <v>27</v>
      </c>
      <c r="F935" t="s">
        <v>28</v>
      </c>
      <c r="G935" t="s">
        <v>22</v>
      </c>
      <c r="H935" t="s">
        <v>23</v>
      </c>
      <c r="I935" s="2">
        <v>4</v>
      </c>
      <c r="J935" s="2">
        <v>2500000</v>
      </c>
      <c r="K935" s="2">
        <v>10000000</v>
      </c>
      <c r="L935" s="3">
        <v>0.05</v>
      </c>
      <c r="M935" t="s">
        <v>51</v>
      </c>
      <c r="N935" t="s">
        <v>1916</v>
      </c>
    </row>
    <row r="936" spans="1:14" x14ac:dyDescent="0.25">
      <c r="A936" t="s">
        <v>1917</v>
      </c>
      <c r="B936" s="10">
        <v>46114</v>
      </c>
      <c r="C936" t="str">
        <f t="shared" si="15"/>
        <v>April</v>
      </c>
      <c r="D936" t="s">
        <v>14</v>
      </c>
      <c r="E936" t="s">
        <v>15</v>
      </c>
      <c r="F936" t="s">
        <v>16</v>
      </c>
      <c r="G936" t="s">
        <v>42</v>
      </c>
      <c r="H936" t="s">
        <v>43</v>
      </c>
      <c r="I936" s="2">
        <v>3</v>
      </c>
      <c r="J936" s="2">
        <v>3500000</v>
      </c>
      <c r="K936" s="2">
        <v>10500000</v>
      </c>
      <c r="L936" s="3">
        <v>0.15</v>
      </c>
      <c r="M936" t="s">
        <v>51</v>
      </c>
      <c r="N936" t="s">
        <v>1918</v>
      </c>
    </row>
    <row r="937" spans="1:14" x14ac:dyDescent="0.25">
      <c r="A937" t="s">
        <v>1919</v>
      </c>
      <c r="B937" s="10">
        <v>46118</v>
      </c>
      <c r="C937" t="str">
        <f t="shared" si="15"/>
        <v>April</v>
      </c>
      <c r="D937" t="s">
        <v>39</v>
      </c>
      <c r="E937" t="s">
        <v>40</v>
      </c>
      <c r="F937" t="s">
        <v>41</v>
      </c>
      <c r="G937" t="s">
        <v>42</v>
      </c>
      <c r="H937" t="s">
        <v>43</v>
      </c>
      <c r="I937" s="2">
        <v>8</v>
      </c>
      <c r="J937" s="2">
        <v>12000000</v>
      </c>
      <c r="K937" s="2">
        <v>96000000</v>
      </c>
      <c r="L937" s="3">
        <v>0.15</v>
      </c>
      <c r="M937" t="s">
        <v>19</v>
      </c>
      <c r="N937" t="s">
        <v>1920</v>
      </c>
    </row>
    <row r="938" spans="1:14" x14ac:dyDescent="0.25">
      <c r="A938" t="s">
        <v>1921</v>
      </c>
      <c r="B938" s="10">
        <v>46072</v>
      </c>
      <c r="C938" t="str">
        <f t="shared" si="15"/>
        <v>February</v>
      </c>
      <c r="D938" t="s">
        <v>26</v>
      </c>
      <c r="E938" t="s">
        <v>27</v>
      </c>
      <c r="F938" t="s">
        <v>28</v>
      </c>
      <c r="G938" t="s">
        <v>17</v>
      </c>
      <c r="H938" t="s">
        <v>18</v>
      </c>
      <c r="I938" s="2">
        <v>7</v>
      </c>
      <c r="J938" s="2">
        <v>2500000</v>
      </c>
      <c r="K938" s="2">
        <v>17500000</v>
      </c>
      <c r="L938" s="3">
        <v>0</v>
      </c>
      <c r="M938" t="s">
        <v>19</v>
      </c>
      <c r="N938" t="s">
        <v>1922</v>
      </c>
    </row>
    <row r="939" spans="1:14" x14ac:dyDescent="0.25">
      <c r="A939" t="s">
        <v>1923</v>
      </c>
      <c r="B939" s="10">
        <v>46079</v>
      </c>
      <c r="C939" t="str">
        <f t="shared" si="15"/>
        <v>February</v>
      </c>
      <c r="D939" t="s">
        <v>26</v>
      </c>
      <c r="E939" t="s">
        <v>27</v>
      </c>
      <c r="F939" t="s">
        <v>28</v>
      </c>
      <c r="G939" t="s">
        <v>29</v>
      </c>
      <c r="H939" t="s">
        <v>30</v>
      </c>
      <c r="I939" s="2">
        <v>2</v>
      </c>
      <c r="J939" s="2">
        <v>2500000</v>
      </c>
      <c r="K939" s="2">
        <v>5000000</v>
      </c>
      <c r="L939" s="3">
        <v>0.05</v>
      </c>
      <c r="M939" t="s">
        <v>77</v>
      </c>
      <c r="N939" t="s">
        <v>1924</v>
      </c>
    </row>
    <row r="940" spans="1:14" x14ac:dyDescent="0.25">
      <c r="A940" t="s">
        <v>1925</v>
      </c>
      <c r="B940" s="10">
        <v>46180</v>
      </c>
      <c r="C940" t="str">
        <f t="shared" si="15"/>
        <v>June</v>
      </c>
      <c r="D940" t="s">
        <v>62</v>
      </c>
      <c r="E940" t="s">
        <v>63</v>
      </c>
      <c r="F940" t="s">
        <v>64</v>
      </c>
      <c r="G940" t="s">
        <v>65</v>
      </c>
      <c r="H940" t="s">
        <v>66</v>
      </c>
      <c r="I940" s="2">
        <v>14</v>
      </c>
      <c r="J940" s="2">
        <v>4000000</v>
      </c>
      <c r="K940" s="2">
        <v>56000000</v>
      </c>
      <c r="L940" s="3">
        <v>0.15</v>
      </c>
      <c r="M940" t="s">
        <v>19</v>
      </c>
      <c r="N940" t="s">
        <v>1926</v>
      </c>
    </row>
    <row r="941" spans="1:14" x14ac:dyDescent="0.25">
      <c r="A941" t="s">
        <v>1927</v>
      </c>
      <c r="B941" s="10">
        <v>46126</v>
      </c>
      <c r="C941" t="str">
        <f t="shared" si="15"/>
        <v>April</v>
      </c>
      <c r="D941" t="s">
        <v>92</v>
      </c>
      <c r="E941" t="s">
        <v>93</v>
      </c>
      <c r="F941" t="s">
        <v>16</v>
      </c>
      <c r="G941" t="s">
        <v>22</v>
      </c>
      <c r="H941" t="s">
        <v>23</v>
      </c>
      <c r="I941" s="2">
        <v>12</v>
      </c>
      <c r="J941" s="2">
        <v>1500000</v>
      </c>
      <c r="K941" s="2">
        <v>18000000</v>
      </c>
      <c r="L941" s="3">
        <v>0.15</v>
      </c>
      <c r="M941" t="s">
        <v>51</v>
      </c>
      <c r="N941" t="s">
        <v>1928</v>
      </c>
    </row>
    <row r="942" spans="1:14" x14ac:dyDescent="0.25">
      <c r="A942" t="s">
        <v>1929</v>
      </c>
      <c r="B942" s="10">
        <v>46123</v>
      </c>
      <c r="C942" t="str">
        <f t="shared" si="15"/>
        <v>April</v>
      </c>
      <c r="D942" t="s">
        <v>92</v>
      </c>
      <c r="E942" t="s">
        <v>93</v>
      </c>
      <c r="F942" t="s">
        <v>16</v>
      </c>
      <c r="G942" t="s">
        <v>22</v>
      </c>
      <c r="H942" t="s">
        <v>23</v>
      </c>
      <c r="I942" s="2">
        <v>2</v>
      </c>
      <c r="J942" s="2">
        <v>1500000</v>
      </c>
      <c r="K942" s="2">
        <v>3000000</v>
      </c>
      <c r="L942" s="3">
        <v>0.15</v>
      </c>
      <c r="M942" t="s">
        <v>77</v>
      </c>
      <c r="N942" t="s">
        <v>1930</v>
      </c>
    </row>
    <row r="943" spans="1:14" x14ac:dyDescent="0.25">
      <c r="A943" t="s">
        <v>1931</v>
      </c>
      <c r="B943" s="10">
        <v>46033</v>
      </c>
      <c r="C943" t="str">
        <f t="shared" si="15"/>
        <v>January</v>
      </c>
      <c r="D943" t="s">
        <v>26</v>
      </c>
      <c r="E943" t="s">
        <v>27</v>
      </c>
      <c r="F943" t="s">
        <v>28</v>
      </c>
      <c r="G943" t="s">
        <v>22</v>
      </c>
      <c r="H943" t="s">
        <v>23</v>
      </c>
      <c r="I943" s="2">
        <v>9</v>
      </c>
      <c r="J943" s="2">
        <v>2500000</v>
      </c>
      <c r="K943" s="2">
        <v>22500000</v>
      </c>
      <c r="L943" s="3">
        <v>0.15</v>
      </c>
      <c r="M943" t="s">
        <v>51</v>
      </c>
      <c r="N943" t="s">
        <v>1932</v>
      </c>
    </row>
    <row r="944" spans="1:14" x14ac:dyDescent="0.25">
      <c r="A944" t="s">
        <v>1933</v>
      </c>
      <c r="B944" s="10">
        <v>46165</v>
      </c>
      <c r="C944" t="str">
        <f t="shared" si="15"/>
        <v>May</v>
      </c>
      <c r="D944" t="s">
        <v>34</v>
      </c>
      <c r="E944" t="s">
        <v>35</v>
      </c>
      <c r="F944" t="s">
        <v>36</v>
      </c>
      <c r="G944" t="s">
        <v>22</v>
      </c>
      <c r="H944" t="s">
        <v>23</v>
      </c>
      <c r="I944" s="2">
        <v>13</v>
      </c>
      <c r="J944" s="2">
        <v>2000000</v>
      </c>
      <c r="K944" s="2">
        <v>26000000</v>
      </c>
      <c r="L944" s="3">
        <v>0</v>
      </c>
      <c r="M944" t="s">
        <v>19</v>
      </c>
      <c r="N944" t="s">
        <v>1934</v>
      </c>
    </row>
    <row r="945" spans="1:14" x14ac:dyDescent="0.25">
      <c r="A945" t="s">
        <v>1935</v>
      </c>
      <c r="B945" s="10">
        <v>46135</v>
      </c>
      <c r="C945" t="str">
        <f t="shared" si="15"/>
        <v>April</v>
      </c>
      <c r="D945" t="s">
        <v>34</v>
      </c>
      <c r="E945" t="s">
        <v>35</v>
      </c>
      <c r="F945" t="s">
        <v>36</v>
      </c>
      <c r="G945" t="s">
        <v>65</v>
      </c>
      <c r="H945" t="s">
        <v>66</v>
      </c>
      <c r="I945" s="2">
        <v>13</v>
      </c>
      <c r="J945" s="2">
        <v>2000000</v>
      </c>
      <c r="K945" s="2">
        <v>26000000</v>
      </c>
      <c r="L945" s="3">
        <v>0.1</v>
      </c>
      <c r="M945" t="s">
        <v>77</v>
      </c>
      <c r="N945" t="s">
        <v>1936</v>
      </c>
    </row>
    <row r="946" spans="1:14" x14ac:dyDescent="0.25">
      <c r="A946" t="s">
        <v>1937</v>
      </c>
      <c r="B946" s="10">
        <v>46131</v>
      </c>
      <c r="C946" t="str">
        <f t="shared" si="15"/>
        <v>April</v>
      </c>
      <c r="D946" t="s">
        <v>58</v>
      </c>
      <c r="E946" t="s">
        <v>59</v>
      </c>
      <c r="F946" t="s">
        <v>28</v>
      </c>
      <c r="G946" t="s">
        <v>22</v>
      </c>
      <c r="H946" t="s">
        <v>23</v>
      </c>
      <c r="I946" s="2">
        <v>15</v>
      </c>
      <c r="J946" s="2">
        <v>5500000</v>
      </c>
      <c r="K946" s="2">
        <v>82500000</v>
      </c>
      <c r="L946" s="3">
        <v>0</v>
      </c>
      <c r="M946" t="s">
        <v>51</v>
      </c>
      <c r="N946" t="s">
        <v>1938</v>
      </c>
    </row>
    <row r="947" spans="1:14" x14ac:dyDescent="0.25">
      <c r="A947" t="s">
        <v>1939</v>
      </c>
      <c r="B947" s="10">
        <v>46059</v>
      </c>
      <c r="C947" t="str">
        <f t="shared" si="15"/>
        <v>February</v>
      </c>
      <c r="D947" t="s">
        <v>62</v>
      </c>
      <c r="E947" t="s">
        <v>63</v>
      </c>
      <c r="F947" t="s">
        <v>64</v>
      </c>
      <c r="G947" t="s">
        <v>42</v>
      </c>
      <c r="H947" t="s">
        <v>43</v>
      </c>
      <c r="I947" s="2">
        <v>2</v>
      </c>
      <c r="J947" s="2">
        <v>4000000</v>
      </c>
      <c r="K947" s="2">
        <v>8000000</v>
      </c>
      <c r="L947" s="3">
        <v>0</v>
      </c>
      <c r="M947" t="s">
        <v>19</v>
      </c>
      <c r="N947" t="s">
        <v>1940</v>
      </c>
    </row>
    <row r="948" spans="1:14" x14ac:dyDescent="0.25">
      <c r="A948" t="s">
        <v>1941</v>
      </c>
      <c r="B948" s="10">
        <v>46172</v>
      </c>
      <c r="C948" t="str">
        <f t="shared" si="15"/>
        <v>May</v>
      </c>
      <c r="D948" t="s">
        <v>39</v>
      </c>
      <c r="E948" t="s">
        <v>40</v>
      </c>
      <c r="F948" t="s">
        <v>41</v>
      </c>
      <c r="G948" t="s">
        <v>42</v>
      </c>
      <c r="H948" t="s">
        <v>43</v>
      </c>
      <c r="I948" s="2">
        <v>7</v>
      </c>
      <c r="J948" s="2">
        <v>12000000</v>
      </c>
      <c r="K948" s="2">
        <v>84000000</v>
      </c>
      <c r="L948" s="3">
        <v>0.1</v>
      </c>
      <c r="M948" t="s">
        <v>77</v>
      </c>
      <c r="N948" t="s">
        <v>1942</v>
      </c>
    </row>
    <row r="949" spans="1:14" x14ac:dyDescent="0.25">
      <c r="A949" t="s">
        <v>1943</v>
      </c>
      <c r="B949" s="10">
        <v>46068</v>
      </c>
      <c r="C949" t="str">
        <f t="shared" si="15"/>
        <v>February</v>
      </c>
      <c r="D949" t="s">
        <v>62</v>
      </c>
      <c r="E949" t="s">
        <v>63</v>
      </c>
      <c r="F949" t="s">
        <v>64</v>
      </c>
      <c r="G949" t="s">
        <v>22</v>
      </c>
      <c r="H949" t="s">
        <v>23</v>
      </c>
      <c r="I949" s="2">
        <v>15</v>
      </c>
      <c r="J949" s="2">
        <v>4000000</v>
      </c>
      <c r="K949" s="2">
        <v>60000000</v>
      </c>
      <c r="L949" s="3">
        <v>0.05</v>
      </c>
      <c r="M949" t="s">
        <v>77</v>
      </c>
      <c r="N949" t="s">
        <v>1944</v>
      </c>
    </row>
    <row r="950" spans="1:14" x14ac:dyDescent="0.25">
      <c r="A950" t="s">
        <v>1945</v>
      </c>
      <c r="B950" s="10">
        <v>46087</v>
      </c>
      <c r="C950" t="str">
        <f t="shared" si="15"/>
        <v>March</v>
      </c>
      <c r="D950" t="s">
        <v>46</v>
      </c>
      <c r="E950" t="s">
        <v>47</v>
      </c>
      <c r="F950" t="s">
        <v>48</v>
      </c>
      <c r="G950" t="s">
        <v>29</v>
      </c>
      <c r="H950" t="s">
        <v>30</v>
      </c>
      <c r="I950" s="2">
        <v>12</v>
      </c>
      <c r="J950" s="2">
        <v>750000</v>
      </c>
      <c r="K950" s="2">
        <v>9000000</v>
      </c>
      <c r="L950" s="3">
        <v>0</v>
      </c>
      <c r="M950" t="s">
        <v>19</v>
      </c>
      <c r="N950" t="s">
        <v>1946</v>
      </c>
    </row>
    <row r="951" spans="1:14" x14ac:dyDescent="0.25">
      <c r="A951" t="s">
        <v>1947</v>
      </c>
      <c r="B951" s="10">
        <v>46203</v>
      </c>
      <c r="C951" t="str">
        <f t="shared" si="15"/>
        <v>June</v>
      </c>
      <c r="D951" t="s">
        <v>62</v>
      </c>
      <c r="E951" t="s">
        <v>63</v>
      </c>
      <c r="F951" t="s">
        <v>64</v>
      </c>
      <c r="G951" t="s">
        <v>65</v>
      </c>
      <c r="H951" t="s">
        <v>66</v>
      </c>
      <c r="I951" s="2">
        <v>2</v>
      </c>
      <c r="J951" s="2">
        <v>4000000</v>
      </c>
      <c r="K951" s="2">
        <v>8000000</v>
      </c>
      <c r="L951" s="3">
        <v>0.15</v>
      </c>
      <c r="M951" t="s">
        <v>51</v>
      </c>
      <c r="N951" t="s">
        <v>1948</v>
      </c>
    </row>
    <row r="952" spans="1:14" x14ac:dyDescent="0.25">
      <c r="A952" t="s">
        <v>1949</v>
      </c>
      <c r="B952" s="10">
        <v>46153</v>
      </c>
      <c r="C952" t="str">
        <f t="shared" si="15"/>
        <v>May</v>
      </c>
      <c r="D952" t="s">
        <v>39</v>
      </c>
      <c r="E952" t="s">
        <v>40</v>
      </c>
      <c r="F952" t="s">
        <v>41</v>
      </c>
      <c r="G952" t="s">
        <v>42</v>
      </c>
      <c r="H952" t="s">
        <v>43</v>
      </c>
      <c r="I952" s="2">
        <v>9</v>
      </c>
      <c r="J952" s="2">
        <v>12000000</v>
      </c>
      <c r="K952" s="2">
        <v>108000000</v>
      </c>
      <c r="L952" s="3">
        <v>0.15</v>
      </c>
      <c r="M952" t="s">
        <v>19</v>
      </c>
      <c r="N952" t="s">
        <v>1950</v>
      </c>
    </row>
    <row r="953" spans="1:14" x14ac:dyDescent="0.25">
      <c r="A953" t="s">
        <v>1951</v>
      </c>
      <c r="B953" s="10">
        <v>46066</v>
      </c>
      <c r="C953" t="str">
        <f t="shared" si="15"/>
        <v>February</v>
      </c>
      <c r="D953" t="s">
        <v>46</v>
      </c>
      <c r="E953" t="s">
        <v>47</v>
      </c>
      <c r="F953" t="s">
        <v>48</v>
      </c>
      <c r="G953" t="s">
        <v>22</v>
      </c>
      <c r="H953" t="s">
        <v>23</v>
      </c>
      <c r="I953" s="2">
        <v>14</v>
      </c>
      <c r="J953" s="2">
        <v>750000</v>
      </c>
      <c r="K953" s="2">
        <v>10500000</v>
      </c>
      <c r="L953" s="3">
        <v>0.05</v>
      </c>
      <c r="M953" t="s">
        <v>19</v>
      </c>
      <c r="N953" t="s">
        <v>1952</v>
      </c>
    </row>
    <row r="954" spans="1:14" x14ac:dyDescent="0.25">
      <c r="A954" t="s">
        <v>1953</v>
      </c>
      <c r="B954" s="10">
        <v>46060</v>
      </c>
      <c r="C954" t="str">
        <f t="shared" si="15"/>
        <v>February</v>
      </c>
      <c r="D954" t="s">
        <v>39</v>
      </c>
      <c r="E954" t="s">
        <v>40</v>
      </c>
      <c r="F954" t="s">
        <v>41</v>
      </c>
      <c r="G954" t="s">
        <v>17</v>
      </c>
      <c r="H954" t="s">
        <v>18</v>
      </c>
      <c r="I954" s="2">
        <v>7</v>
      </c>
      <c r="J954" s="2">
        <v>12000000</v>
      </c>
      <c r="K954" s="2">
        <v>84000000</v>
      </c>
      <c r="L954" s="3">
        <v>0.1</v>
      </c>
      <c r="M954" t="s">
        <v>19</v>
      </c>
      <c r="N954" t="s">
        <v>1954</v>
      </c>
    </row>
    <row r="955" spans="1:14" x14ac:dyDescent="0.25">
      <c r="A955" t="s">
        <v>1955</v>
      </c>
      <c r="B955" s="10">
        <v>46219</v>
      </c>
      <c r="C955" t="str">
        <f t="shared" si="15"/>
        <v>July</v>
      </c>
      <c r="D955" t="s">
        <v>62</v>
      </c>
      <c r="E955" t="s">
        <v>63</v>
      </c>
      <c r="F955" t="s">
        <v>64</v>
      </c>
      <c r="G955" t="s">
        <v>65</v>
      </c>
      <c r="H955" t="s">
        <v>66</v>
      </c>
      <c r="I955" s="2">
        <v>11</v>
      </c>
      <c r="J955" s="2">
        <v>4000000</v>
      </c>
      <c r="K955" s="2">
        <v>44000000</v>
      </c>
      <c r="L955" s="3">
        <v>0.05</v>
      </c>
      <c r="M955" t="s">
        <v>19</v>
      </c>
      <c r="N955" t="s">
        <v>1956</v>
      </c>
    </row>
    <row r="956" spans="1:14" x14ac:dyDescent="0.25">
      <c r="A956" t="s">
        <v>1957</v>
      </c>
      <c r="B956" s="10">
        <v>46074</v>
      </c>
      <c r="C956" t="str">
        <f t="shared" si="15"/>
        <v>February</v>
      </c>
      <c r="D956" t="s">
        <v>92</v>
      </c>
      <c r="E956" t="s">
        <v>93</v>
      </c>
      <c r="F956" t="s">
        <v>16</v>
      </c>
      <c r="G956" t="s">
        <v>22</v>
      </c>
      <c r="H956" t="s">
        <v>23</v>
      </c>
      <c r="I956" s="2">
        <v>13</v>
      </c>
      <c r="J956" s="2">
        <v>1500000</v>
      </c>
      <c r="K956" s="2">
        <v>19500000</v>
      </c>
      <c r="L956" s="3">
        <v>0.1</v>
      </c>
      <c r="M956" t="s">
        <v>19</v>
      </c>
      <c r="N956" t="s">
        <v>1958</v>
      </c>
    </row>
    <row r="957" spans="1:14" x14ac:dyDescent="0.25">
      <c r="A957" t="s">
        <v>1959</v>
      </c>
      <c r="B957" s="10">
        <v>46150</v>
      </c>
      <c r="C957" t="str">
        <f t="shared" si="15"/>
        <v>May</v>
      </c>
      <c r="D957" t="s">
        <v>62</v>
      </c>
      <c r="E957" t="s">
        <v>63</v>
      </c>
      <c r="F957" t="s">
        <v>64</v>
      </c>
      <c r="G957" t="s">
        <v>22</v>
      </c>
      <c r="H957" t="s">
        <v>23</v>
      </c>
      <c r="I957" s="2">
        <v>13</v>
      </c>
      <c r="J957" s="2">
        <v>4000000</v>
      </c>
      <c r="K957" s="2">
        <v>52000000</v>
      </c>
      <c r="L957" s="3">
        <v>0</v>
      </c>
      <c r="M957" t="s">
        <v>31</v>
      </c>
      <c r="N957" t="s">
        <v>1960</v>
      </c>
    </row>
    <row r="958" spans="1:14" x14ac:dyDescent="0.25">
      <c r="A958" t="s">
        <v>1961</v>
      </c>
      <c r="B958" s="10">
        <v>46083</v>
      </c>
      <c r="C958" t="str">
        <f t="shared" si="15"/>
        <v>March</v>
      </c>
      <c r="D958" t="s">
        <v>26</v>
      </c>
      <c r="E958" t="s">
        <v>27</v>
      </c>
      <c r="F958" t="s">
        <v>28</v>
      </c>
      <c r="G958" t="s">
        <v>22</v>
      </c>
      <c r="H958" t="s">
        <v>23</v>
      </c>
      <c r="I958" s="2">
        <v>11</v>
      </c>
      <c r="J958" s="2">
        <v>2500000</v>
      </c>
      <c r="K958" s="2">
        <v>27500000</v>
      </c>
      <c r="L958" s="3">
        <v>0.15</v>
      </c>
      <c r="M958" t="s">
        <v>77</v>
      </c>
      <c r="N958" t="s">
        <v>1962</v>
      </c>
    </row>
    <row r="959" spans="1:14" x14ac:dyDescent="0.25">
      <c r="A959" t="s">
        <v>1963</v>
      </c>
      <c r="B959" s="10">
        <v>46136</v>
      </c>
      <c r="C959" t="str">
        <f t="shared" si="15"/>
        <v>April</v>
      </c>
      <c r="D959" t="s">
        <v>14</v>
      </c>
      <c r="E959" t="s">
        <v>15</v>
      </c>
      <c r="F959" t="s">
        <v>16</v>
      </c>
      <c r="G959" t="s">
        <v>22</v>
      </c>
      <c r="H959" t="s">
        <v>23</v>
      </c>
      <c r="I959" s="2">
        <v>10</v>
      </c>
      <c r="J959" s="2">
        <v>3500000</v>
      </c>
      <c r="K959" s="2">
        <v>35000000</v>
      </c>
      <c r="L959" s="3">
        <v>0</v>
      </c>
      <c r="M959" t="s">
        <v>19</v>
      </c>
      <c r="N959" t="s">
        <v>1964</v>
      </c>
    </row>
    <row r="960" spans="1:14" x14ac:dyDescent="0.25">
      <c r="A960" t="s">
        <v>1965</v>
      </c>
      <c r="B960" s="10">
        <v>46094</v>
      </c>
      <c r="C960" t="str">
        <f t="shared" si="15"/>
        <v>March</v>
      </c>
      <c r="D960" t="s">
        <v>26</v>
      </c>
      <c r="E960" t="s">
        <v>27</v>
      </c>
      <c r="F960" t="s">
        <v>28</v>
      </c>
      <c r="G960" t="s">
        <v>17</v>
      </c>
      <c r="H960" t="s">
        <v>18</v>
      </c>
      <c r="I960" s="2">
        <v>3</v>
      </c>
      <c r="J960" s="2">
        <v>2500000</v>
      </c>
      <c r="K960" s="2">
        <v>7500000</v>
      </c>
      <c r="L960" s="3">
        <v>0.05</v>
      </c>
      <c r="M960" t="s">
        <v>19</v>
      </c>
      <c r="N960" t="s">
        <v>1966</v>
      </c>
    </row>
    <row r="961" spans="1:14" x14ac:dyDescent="0.25">
      <c r="A961" t="s">
        <v>1967</v>
      </c>
      <c r="B961" s="10">
        <v>46112</v>
      </c>
      <c r="C961" t="str">
        <f t="shared" si="15"/>
        <v>March</v>
      </c>
      <c r="D961" t="s">
        <v>92</v>
      </c>
      <c r="E961" t="s">
        <v>93</v>
      </c>
      <c r="F961" t="s">
        <v>16</v>
      </c>
      <c r="G961" t="s">
        <v>29</v>
      </c>
      <c r="H961" t="s">
        <v>30</v>
      </c>
      <c r="I961" s="2">
        <v>14</v>
      </c>
      <c r="J961" s="2">
        <v>1500000</v>
      </c>
      <c r="K961" s="2">
        <v>21000000</v>
      </c>
      <c r="L961" s="3">
        <v>0</v>
      </c>
      <c r="M961" t="s">
        <v>51</v>
      </c>
      <c r="N961" t="s">
        <v>1968</v>
      </c>
    </row>
    <row r="962" spans="1:14" x14ac:dyDescent="0.25">
      <c r="A962" t="s">
        <v>1969</v>
      </c>
      <c r="B962" s="10">
        <v>46237</v>
      </c>
      <c r="C962" t="str">
        <f t="shared" si="15"/>
        <v>August</v>
      </c>
      <c r="D962" t="s">
        <v>58</v>
      </c>
      <c r="E962" t="s">
        <v>59</v>
      </c>
      <c r="F962" t="s">
        <v>28</v>
      </c>
      <c r="G962" t="s">
        <v>65</v>
      </c>
      <c r="H962" t="s">
        <v>66</v>
      </c>
      <c r="I962" s="2">
        <v>15</v>
      </c>
      <c r="J962" s="2">
        <v>5500000</v>
      </c>
      <c r="K962" s="2">
        <v>82500000</v>
      </c>
      <c r="L962" s="3">
        <v>0</v>
      </c>
      <c r="M962" t="s">
        <v>19</v>
      </c>
      <c r="N962" t="s">
        <v>1970</v>
      </c>
    </row>
    <row r="963" spans="1:14" x14ac:dyDescent="0.25">
      <c r="A963" t="s">
        <v>1971</v>
      </c>
      <c r="B963" s="10">
        <v>46129</v>
      </c>
      <c r="C963" t="str">
        <f t="shared" ref="C963:C1001" si="16">TEXT(B963, "MMMM")</f>
        <v>April</v>
      </c>
      <c r="D963" t="s">
        <v>39</v>
      </c>
      <c r="E963" t="s">
        <v>40</v>
      </c>
      <c r="F963" t="s">
        <v>41</v>
      </c>
      <c r="G963" t="s">
        <v>29</v>
      </c>
      <c r="H963" t="s">
        <v>30</v>
      </c>
      <c r="I963" s="2">
        <v>11</v>
      </c>
      <c r="J963" s="2">
        <v>12000000</v>
      </c>
      <c r="K963" s="2">
        <v>132000000</v>
      </c>
      <c r="L963" s="3">
        <v>0.1</v>
      </c>
      <c r="M963" t="s">
        <v>31</v>
      </c>
      <c r="N963" t="s">
        <v>1972</v>
      </c>
    </row>
    <row r="964" spans="1:14" x14ac:dyDescent="0.25">
      <c r="A964" t="s">
        <v>1973</v>
      </c>
      <c r="B964" s="10">
        <v>46200</v>
      </c>
      <c r="C964" t="str">
        <f t="shared" si="16"/>
        <v>June</v>
      </c>
      <c r="D964" t="s">
        <v>39</v>
      </c>
      <c r="E964" t="s">
        <v>40</v>
      </c>
      <c r="F964" t="s">
        <v>41</v>
      </c>
      <c r="G964" t="s">
        <v>42</v>
      </c>
      <c r="H964" t="s">
        <v>43</v>
      </c>
      <c r="I964" s="2">
        <v>12</v>
      </c>
      <c r="J964" s="2">
        <v>12000000</v>
      </c>
      <c r="K964" s="2">
        <v>144000000</v>
      </c>
      <c r="L964" s="3">
        <v>0.1</v>
      </c>
      <c r="M964" t="s">
        <v>19</v>
      </c>
      <c r="N964" t="s">
        <v>1974</v>
      </c>
    </row>
    <row r="965" spans="1:14" x14ac:dyDescent="0.25">
      <c r="A965" t="s">
        <v>1975</v>
      </c>
      <c r="B965" s="10">
        <v>46219</v>
      </c>
      <c r="C965" t="str">
        <f t="shared" si="16"/>
        <v>July</v>
      </c>
      <c r="D965" t="s">
        <v>58</v>
      </c>
      <c r="E965" t="s">
        <v>59</v>
      </c>
      <c r="F965" t="s">
        <v>28</v>
      </c>
      <c r="G965" t="s">
        <v>65</v>
      </c>
      <c r="H965" t="s">
        <v>66</v>
      </c>
      <c r="I965" s="2">
        <v>6</v>
      </c>
      <c r="J965" s="2">
        <v>5500000</v>
      </c>
      <c r="K965" s="2">
        <v>33000000</v>
      </c>
      <c r="L965" s="3">
        <v>0.15</v>
      </c>
      <c r="M965" t="s">
        <v>19</v>
      </c>
      <c r="N965" t="s">
        <v>1976</v>
      </c>
    </row>
    <row r="966" spans="1:14" x14ac:dyDescent="0.25">
      <c r="A966" t="s">
        <v>1977</v>
      </c>
      <c r="B966" s="10">
        <v>46132</v>
      </c>
      <c r="C966" t="str">
        <f t="shared" si="16"/>
        <v>April</v>
      </c>
      <c r="D966" t="s">
        <v>14</v>
      </c>
      <c r="E966" t="s">
        <v>15</v>
      </c>
      <c r="F966" t="s">
        <v>16</v>
      </c>
      <c r="G966" t="s">
        <v>65</v>
      </c>
      <c r="H966" t="s">
        <v>66</v>
      </c>
      <c r="I966" s="2">
        <v>8</v>
      </c>
      <c r="J966" s="2">
        <v>3500000</v>
      </c>
      <c r="K966" s="2">
        <v>28000000</v>
      </c>
      <c r="L966" s="3">
        <v>0.05</v>
      </c>
      <c r="M966" t="s">
        <v>19</v>
      </c>
      <c r="N966" t="s">
        <v>1978</v>
      </c>
    </row>
    <row r="967" spans="1:14" x14ac:dyDescent="0.25">
      <c r="A967" t="s">
        <v>1979</v>
      </c>
      <c r="B967" s="10">
        <v>46243</v>
      </c>
      <c r="C967" t="str">
        <f t="shared" si="16"/>
        <v>August</v>
      </c>
      <c r="D967" t="s">
        <v>58</v>
      </c>
      <c r="E967" t="s">
        <v>59</v>
      </c>
      <c r="F967" t="s">
        <v>28</v>
      </c>
      <c r="G967" t="s">
        <v>65</v>
      </c>
      <c r="H967" t="s">
        <v>66</v>
      </c>
      <c r="I967" s="2">
        <v>9</v>
      </c>
      <c r="J967" s="2">
        <v>5500000</v>
      </c>
      <c r="K967" s="2">
        <v>49500000</v>
      </c>
      <c r="L967" s="3">
        <v>0.15</v>
      </c>
      <c r="M967" t="s">
        <v>31</v>
      </c>
      <c r="N967" t="s">
        <v>1980</v>
      </c>
    </row>
    <row r="968" spans="1:14" x14ac:dyDescent="0.25">
      <c r="A968" t="s">
        <v>1981</v>
      </c>
      <c r="B968" s="10">
        <v>46201</v>
      </c>
      <c r="C968" t="str">
        <f t="shared" si="16"/>
        <v>June</v>
      </c>
      <c r="D968" t="s">
        <v>26</v>
      </c>
      <c r="E968" t="s">
        <v>27</v>
      </c>
      <c r="F968" t="s">
        <v>28</v>
      </c>
      <c r="G968" t="s">
        <v>22</v>
      </c>
      <c r="H968" t="s">
        <v>23</v>
      </c>
      <c r="I968" s="2">
        <v>1</v>
      </c>
      <c r="J968" s="2">
        <v>2500000</v>
      </c>
      <c r="K968" s="2">
        <v>2500000</v>
      </c>
      <c r="L968" s="3">
        <v>0</v>
      </c>
      <c r="M968" t="s">
        <v>31</v>
      </c>
      <c r="N968" t="s">
        <v>1982</v>
      </c>
    </row>
    <row r="969" spans="1:14" x14ac:dyDescent="0.25">
      <c r="A969" t="s">
        <v>1983</v>
      </c>
      <c r="B969" s="10">
        <v>46184</v>
      </c>
      <c r="C969" t="str">
        <f t="shared" si="16"/>
        <v>June</v>
      </c>
      <c r="D969" t="s">
        <v>14</v>
      </c>
      <c r="E969" t="s">
        <v>15</v>
      </c>
      <c r="F969" t="s">
        <v>16</v>
      </c>
      <c r="G969" t="s">
        <v>42</v>
      </c>
      <c r="H969" t="s">
        <v>43</v>
      </c>
      <c r="I969" s="2">
        <v>12</v>
      </c>
      <c r="J969" s="2">
        <v>3500000</v>
      </c>
      <c r="K969" s="2">
        <v>42000000</v>
      </c>
      <c r="L969" s="3">
        <v>0.1</v>
      </c>
      <c r="M969" t="s">
        <v>77</v>
      </c>
      <c r="N969" t="s">
        <v>1984</v>
      </c>
    </row>
    <row r="970" spans="1:14" x14ac:dyDescent="0.25">
      <c r="A970" t="s">
        <v>1985</v>
      </c>
      <c r="B970" s="10">
        <v>46240</v>
      </c>
      <c r="C970" t="str">
        <f t="shared" si="16"/>
        <v>August</v>
      </c>
      <c r="D970" t="s">
        <v>46</v>
      </c>
      <c r="E970" t="s">
        <v>47</v>
      </c>
      <c r="F970" t="s">
        <v>48</v>
      </c>
      <c r="G970" t="s">
        <v>65</v>
      </c>
      <c r="H970" t="s">
        <v>66</v>
      </c>
      <c r="I970" s="2">
        <v>9</v>
      </c>
      <c r="J970" s="2">
        <v>750000</v>
      </c>
      <c r="K970" s="2">
        <v>6750000</v>
      </c>
      <c r="L970" s="3">
        <v>0.1</v>
      </c>
      <c r="M970" t="s">
        <v>19</v>
      </c>
      <c r="N970" t="s">
        <v>1986</v>
      </c>
    </row>
    <row r="971" spans="1:14" x14ac:dyDescent="0.25">
      <c r="A971" t="s">
        <v>1987</v>
      </c>
      <c r="B971" s="10">
        <v>46167</v>
      </c>
      <c r="C971" t="str">
        <f t="shared" si="16"/>
        <v>May</v>
      </c>
      <c r="D971" t="s">
        <v>62</v>
      </c>
      <c r="E971" t="s">
        <v>63</v>
      </c>
      <c r="F971" t="s">
        <v>64</v>
      </c>
      <c r="G971" t="s">
        <v>22</v>
      </c>
      <c r="H971" t="s">
        <v>23</v>
      </c>
      <c r="I971" s="2">
        <v>12</v>
      </c>
      <c r="J971" s="2">
        <v>4000000</v>
      </c>
      <c r="K971" s="2">
        <v>48000000</v>
      </c>
      <c r="L971" s="3">
        <v>0.15</v>
      </c>
      <c r="M971" t="s">
        <v>77</v>
      </c>
      <c r="N971" t="s">
        <v>1988</v>
      </c>
    </row>
    <row r="972" spans="1:14" x14ac:dyDescent="0.25">
      <c r="A972" t="s">
        <v>1989</v>
      </c>
      <c r="B972" s="10">
        <v>46069</v>
      </c>
      <c r="C972" t="str">
        <f t="shared" si="16"/>
        <v>February</v>
      </c>
      <c r="D972" t="s">
        <v>26</v>
      </c>
      <c r="E972" t="s">
        <v>27</v>
      </c>
      <c r="F972" t="s">
        <v>28</v>
      </c>
      <c r="G972" t="s">
        <v>65</v>
      </c>
      <c r="H972" t="s">
        <v>66</v>
      </c>
      <c r="I972" s="2">
        <v>4</v>
      </c>
      <c r="J972" s="2">
        <v>2500000</v>
      </c>
      <c r="K972" s="2">
        <v>10000000</v>
      </c>
      <c r="L972" s="3">
        <v>0</v>
      </c>
      <c r="M972" t="s">
        <v>19</v>
      </c>
      <c r="N972" t="s">
        <v>1990</v>
      </c>
    </row>
    <row r="973" spans="1:14" x14ac:dyDescent="0.25">
      <c r="A973" t="s">
        <v>1991</v>
      </c>
      <c r="B973" s="10">
        <v>46142</v>
      </c>
      <c r="C973" t="str">
        <f t="shared" si="16"/>
        <v>April</v>
      </c>
      <c r="D973" t="s">
        <v>14</v>
      </c>
      <c r="E973" t="s">
        <v>15</v>
      </c>
      <c r="F973" t="s">
        <v>16</v>
      </c>
      <c r="G973" t="s">
        <v>29</v>
      </c>
      <c r="H973" t="s">
        <v>30</v>
      </c>
      <c r="I973" s="2">
        <v>13</v>
      </c>
      <c r="J973" s="2">
        <v>3500000</v>
      </c>
      <c r="K973" s="2">
        <v>45500000</v>
      </c>
      <c r="L973" s="3">
        <v>0.15</v>
      </c>
      <c r="M973" t="s">
        <v>77</v>
      </c>
      <c r="N973" t="s">
        <v>1992</v>
      </c>
    </row>
    <row r="974" spans="1:14" x14ac:dyDescent="0.25">
      <c r="A974" t="s">
        <v>1993</v>
      </c>
      <c r="B974" s="10">
        <v>46108</v>
      </c>
      <c r="C974" t="str">
        <f t="shared" si="16"/>
        <v>March</v>
      </c>
      <c r="D974" t="s">
        <v>46</v>
      </c>
      <c r="E974" t="s">
        <v>47</v>
      </c>
      <c r="F974" t="s">
        <v>48</v>
      </c>
      <c r="G974" t="s">
        <v>22</v>
      </c>
      <c r="H974" t="s">
        <v>23</v>
      </c>
      <c r="I974" s="2">
        <v>13</v>
      </c>
      <c r="J974" s="2">
        <v>750000</v>
      </c>
      <c r="K974" s="2">
        <v>9750000</v>
      </c>
      <c r="L974" s="3">
        <v>0.05</v>
      </c>
      <c r="M974" t="s">
        <v>19</v>
      </c>
      <c r="N974" t="s">
        <v>1994</v>
      </c>
    </row>
    <row r="975" spans="1:14" x14ac:dyDescent="0.25">
      <c r="A975" t="s">
        <v>1995</v>
      </c>
      <c r="B975" s="10">
        <v>46074</v>
      </c>
      <c r="C975" t="str">
        <f t="shared" si="16"/>
        <v>February</v>
      </c>
      <c r="D975" t="s">
        <v>58</v>
      </c>
      <c r="E975" t="s">
        <v>59</v>
      </c>
      <c r="F975" t="s">
        <v>28</v>
      </c>
      <c r="G975" t="s">
        <v>65</v>
      </c>
      <c r="H975" t="s">
        <v>66</v>
      </c>
      <c r="I975" s="2">
        <v>13</v>
      </c>
      <c r="J975" s="2">
        <v>5500000</v>
      </c>
      <c r="K975" s="2">
        <v>71500000</v>
      </c>
      <c r="L975" s="3">
        <v>0</v>
      </c>
      <c r="M975" t="s">
        <v>19</v>
      </c>
      <c r="N975" t="s">
        <v>1996</v>
      </c>
    </row>
    <row r="976" spans="1:14" x14ac:dyDescent="0.25">
      <c r="A976" t="s">
        <v>1997</v>
      </c>
      <c r="B976" s="10">
        <v>46152</v>
      </c>
      <c r="C976" t="str">
        <f t="shared" si="16"/>
        <v>May</v>
      </c>
      <c r="D976" t="s">
        <v>46</v>
      </c>
      <c r="E976" t="s">
        <v>47</v>
      </c>
      <c r="F976" t="s">
        <v>48</v>
      </c>
      <c r="G976" t="s">
        <v>17</v>
      </c>
      <c r="H976" t="s">
        <v>18</v>
      </c>
      <c r="I976" s="2">
        <v>2</v>
      </c>
      <c r="J976" s="2">
        <v>750000</v>
      </c>
      <c r="K976" s="2">
        <v>1500000</v>
      </c>
      <c r="L976" s="3">
        <v>0.1</v>
      </c>
      <c r="M976" t="s">
        <v>19</v>
      </c>
      <c r="N976" t="s">
        <v>1998</v>
      </c>
    </row>
    <row r="977" spans="1:14" x14ac:dyDescent="0.25">
      <c r="A977" t="s">
        <v>1999</v>
      </c>
      <c r="B977" s="10">
        <v>46208</v>
      </c>
      <c r="C977" t="str">
        <f t="shared" si="16"/>
        <v>July</v>
      </c>
      <c r="D977" t="s">
        <v>92</v>
      </c>
      <c r="E977" t="s">
        <v>93</v>
      </c>
      <c r="F977" t="s">
        <v>16</v>
      </c>
      <c r="G977" t="s">
        <v>29</v>
      </c>
      <c r="H977" t="s">
        <v>30</v>
      </c>
      <c r="I977" s="2">
        <v>4</v>
      </c>
      <c r="J977" s="2">
        <v>1500000</v>
      </c>
      <c r="K977" s="2">
        <v>6000000</v>
      </c>
      <c r="L977" s="3">
        <v>0.1</v>
      </c>
      <c r="M977" t="s">
        <v>19</v>
      </c>
      <c r="N977" t="s">
        <v>2000</v>
      </c>
    </row>
    <row r="978" spans="1:14" x14ac:dyDescent="0.25">
      <c r="A978" t="s">
        <v>2001</v>
      </c>
      <c r="B978" s="10">
        <v>46145</v>
      </c>
      <c r="C978" t="str">
        <f t="shared" si="16"/>
        <v>May</v>
      </c>
      <c r="D978" t="s">
        <v>62</v>
      </c>
      <c r="E978" t="s">
        <v>63</v>
      </c>
      <c r="F978" t="s">
        <v>64</v>
      </c>
      <c r="G978" t="s">
        <v>17</v>
      </c>
      <c r="H978" t="s">
        <v>18</v>
      </c>
      <c r="I978" s="2">
        <v>11</v>
      </c>
      <c r="J978" s="2">
        <v>4000000</v>
      </c>
      <c r="K978" s="2">
        <v>44000000</v>
      </c>
      <c r="L978" s="3">
        <v>0.05</v>
      </c>
      <c r="M978" t="s">
        <v>77</v>
      </c>
      <c r="N978" t="s">
        <v>2002</v>
      </c>
    </row>
    <row r="979" spans="1:14" x14ac:dyDescent="0.25">
      <c r="A979" t="s">
        <v>2003</v>
      </c>
      <c r="B979" s="10">
        <v>46183</v>
      </c>
      <c r="C979" t="str">
        <f t="shared" si="16"/>
        <v>June</v>
      </c>
      <c r="D979" t="s">
        <v>62</v>
      </c>
      <c r="E979" t="s">
        <v>63</v>
      </c>
      <c r="F979" t="s">
        <v>64</v>
      </c>
      <c r="G979" t="s">
        <v>22</v>
      </c>
      <c r="H979" t="s">
        <v>23</v>
      </c>
      <c r="I979" s="2">
        <v>15</v>
      </c>
      <c r="J979" s="2">
        <v>4000000</v>
      </c>
      <c r="K979" s="2">
        <v>60000000</v>
      </c>
      <c r="L979" s="3">
        <v>0.1</v>
      </c>
      <c r="M979" t="s">
        <v>77</v>
      </c>
      <c r="N979" t="s">
        <v>2004</v>
      </c>
    </row>
    <row r="980" spans="1:14" x14ac:dyDescent="0.25">
      <c r="A980" t="s">
        <v>2005</v>
      </c>
      <c r="B980" s="10">
        <v>46231</v>
      </c>
      <c r="C980" t="str">
        <f t="shared" si="16"/>
        <v>July</v>
      </c>
      <c r="D980" t="s">
        <v>34</v>
      </c>
      <c r="E980" t="s">
        <v>35</v>
      </c>
      <c r="F980" t="s">
        <v>36</v>
      </c>
      <c r="G980" t="s">
        <v>17</v>
      </c>
      <c r="H980" t="s">
        <v>18</v>
      </c>
      <c r="I980" s="2">
        <v>14</v>
      </c>
      <c r="J980" s="2">
        <v>2000000</v>
      </c>
      <c r="K980" s="2">
        <v>28000000</v>
      </c>
      <c r="L980" s="3">
        <v>0.1</v>
      </c>
      <c r="M980" t="s">
        <v>31</v>
      </c>
      <c r="N980" t="s">
        <v>2006</v>
      </c>
    </row>
    <row r="981" spans="1:14" x14ac:dyDescent="0.25">
      <c r="A981" t="s">
        <v>2007</v>
      </c>
      <c r="B981" s="10">
        <v>46196</v>
      </c>
      <c r="C981" t="str">
        <f t="shared" si="16"/>
        <v>June</v>
      </c>
      <c r="D981" t="s">
        <v>46</v>
      </c>
      <c r="E981" t="s">
        <v>47</v>
      </c>
      <c r="F981" t="s">
        <v>48</v>
      </c>
      <c r="G981" t="s">
        <v>22</v>
      </c>
      <c r="H981" t="s">
        <v>23</v>
      </c>
      <c r="I981" s="2">
        <v>9</v>
      </c>
      <c r="J981" s="2">
        <v>750000</v>
      </c>
      <c r="K981" s="2">
        <v>6750000</v>
      </c>
      <c r="L981" s="3">
        <v>0</v>
      </c>
      <c r="M981" t="s">
        <v>19</v>
      </c>
      <c r="N981" t="s">
        <v>2008</v>
      </c>
    </row>
    <row r="982" spans="1:14" x14ac:dyDescent="0.25">
      <c r="A982" t="s">
        <v>2009</v>
      </c>
      <c r="B982" s="10">
        <v>46198</v>
      </c>
      <c r="C982" t="str">
        <f t="shared" si="16"/>
        <v>June</v>
      </c>
      <c r="D982" t="s">
        <v>46</v>
      </c>
      <c r="E982" t="s">
        <v>47</v>
      </c>
      <c r="F982" t="s">
        <v>48</v>
      </c>
      <c r="G982" t="s">
        <v>65</v>
      </c>
      <c r="H982" t="s">
        <v>66</v>
      </c>
      <c r="I982" s="2">
        <v>2</v>
      </c>
      <c r="J982" s="2">
        <v>750000</v>
      </c>
      <c r="K982" s="2">
        <v>1500000</v>
      </c>
      <c r="L982" s="3">
        <v>0.05</v>
      </c>
      <c r="M982" t="s">
        <v>19</v>
      </c>
      <c r="N982" t="s">
        <v>2010</v>
      </c>
    </row>
    <row r="983" spans="1:14" x14ac:dyDescent="0.25">
      <c r="A983" t="s">
        <v>2011</v>
      </c>
      <c r="B983" s="10">
        <v>46030</v>
      </c>
      <c r="C983" t="str">
        <f t="shared" si="16"/>
        <v>January</v>
      </c>
      <c r="D983" t="s">
        <v>46</v>
      </c>
      <c r="E983" t="s">
        <v>47</v>
      </c>
      <c r="F983" t="s">
        <v>48</v>
      </c>
      <c r="G983" t="s">
        <v>42</v>
      </c>
      <c r="H983" t="s">
        <v>43</v>
      </c>
      <c r="I983" s="2">
        <v>11</v>
      </c>
      <c r="J983" s="2">
        <v>750000</v>
      </c>
      <c r="K983" s="2">
        <v>8250000</v>
      </c>
      <c r="L983" s="3">
        <v>0.05</v>
      </c>
      <c r="M983" t="s">
        <v>31</v>
      </c>
      <c r="N983" t="s">
        <v>2012</v>
      </c>
    </row>
    <row r="984" spans="1:14" x14ac:dyDescent="0.25">
      <c r="A984" t="s">
        <v>2013</v>
      </c>
      <c r="B984" s="10">
        <v>46122</v>
      </c>
      <c r="C984" t="str">
        <f t="shared" si="16"/>
        <v>April</v>
      </c>
      <c r="D984" t="s">
        <v>39</v>
      </c>
      <c r="E984" t="s">
        <v>40</v>
      </c>
      <c r="F984" t="s">
        <v>41</v>
      </c>
      <c r="G984" t="s">
        <v>22</v>
      </c>
      <c r="H984" t="s">
        <v>23</v>
      </c>
      <c r="I984" s="2">
        <v>2</v>
      </c>
      <c r="J984" s="2">
        <v>12000000</v>
      </c>
      <c r="K984" s="2">
        <v>24000000</v>
      </c>
      <c r="L984" s="3">
        <v>0.1</v>
      </c>
      <c r="M984" t="s">
        <v>51</v>
      </c>
      <c r="N984" t="s">
        <v>2014</v>
      </c>
    </row>
    <row r="985" spans="1:14" x14ac:dyDescent="0.25">
      <c r="A985" t="s">
        <v>2015</v>
      </c>
      <c r="B985" s="10">
        <v>46103</v>
      </c>
      <c r="C985" t="str">
        <f t="shared" si="16"/>
        <v>March</v>
      </c>
      <c r="D985" t="s">
        <v>92</v>
      </c>
      <c r="E985" t="s">
        <v>93</v>
      </c>
      <c r="F985" t="s">
        <v>16</v>
      </c>
      <c r="G985" t="s">
        <v>65</v>
      </c>
      <c r="H985" t="s">
        <v>66</v>
      </c>
      <c r="I985" s="2">
        <v>7</v>
      </c>
      <c r="J985" s="2">
        <v>1500000</v>
      </c>
      <c r="K985" s="2">
        <v>10500000</v>
      </c>
      <c r="L985" s="3">
        <v>0</v>
      </c>
      <c r="M985" t="s">
        <v>77</v>
      </c>
      <c r="N985" t="s">
        <v>2016</v>
      </c>
    </row>
    <row r="986" spans="1:14" x14ac:dyDescent="0.25">
      <c r="A986" t="s">
        <v>2017</v>
      </c>
      <c r="B986" s="10">
        <v>46083</v>
      </c>
      <c r="C986" t="str">
        <f t="shared" si="16"/>
        <v>March</v>
      </c>
      <c r="D986" t="s">
        <v>46</v>
      </c>
      <c r="E986" t="s">
        <v>47</v>
      </c>
      <c r="F986" t="s">
        <v>48</v>
      </c>
      <c r="G986" t="s">
        <v>42</v>
      </c>
      <c r="H986" t="s">
        <v>43</v>
      </c>
      <c r="I986" s="2">
        <v>14</v>
      </c>
      <c r="J986" s="2">
        <v>750000</v>
      </c>
      <c r="K986" s="2">
        <v>10500000</v>
      </c>
      <c r="L986" s="3">
        <v>0.1</v>
      </c>
      <c r="M986" t="s">
        <v>19</v>
      </c>
      <c r="N986" t="s">
        <v>2018</v>
      </c>
    </row>
    <row r="987" spans="1:14" x14ac:dyDescent="0.25">
      <c r="A987" t="s">
        <v>2019</v>
      </c>
      <c r="B987" s="10">
        <v>46100</v>
      </c>
      <c r="C987" t="str">
        <f t="shared" si="16"/>
        <v>March</v>
      </c>
      <c r="D987" t="s">
        <v>39</v>
      </c>
      <c r="E987" t="s">
        <v>40</v>
      </c>
      <c r="F987" t="s">
        <v>41</v>
      </c>
      <c r="G987" t="s">
        <v>17</v>
      </c>
      <c r="H987" t="s">
        <v>18</v>
      </c>
      <c r="I987" s="2">
        <v>6</v>
      </c>
      <c r="J987" s="2">
        <v>12000000</v>
      </c>
      <c r="K987" s="2">
        <v>72000000</v>
      </c>
      <c r="L987" s="3">
        <v>0</v>
      </c>
      <c r="M987" t="s">
        <v>19</v>
      </c>
      <c r="N987" t="s">
        <v>2020</v>
      </c>
    </row>
    <row r="988" spans="1:14" x14ac:dyDescent="0.25">
      <c r="A988" t="s">
        <v>2021</v>
      </c>
      <c r="B988" s="10">
        <v>46136</v>
      </c>
      <c r="C988" t="str">
        <f t="shared" si="16"/>
        <v>April</v>
      </c>
      <c r="D988" t="s">
        <v>92</v>
      </c>
      <c r="E988" t="s">
        <v>93</v>
      </c>
      <c r="F988" t="s">
        <v>16</v>
      </c>
      <c r="G988" t="s">
        <v>42</v>
      </c>
      <c r="H988" t="s">
        <v>43</v>
      </c>
      <c r="I988" s="2">
        <v>15</v>
      </c>
      <c r="J988" s="2">
        <v>1500000</v>
      </c>
      <c r="K988" s="2">
        <v>22500000</v>
      </c>
      <c r="L988" s="3">
        <v>0.05</v>
      </c>
      <c r="M988" t="s">
        <v>19</v>
      </c>
      <c r="N988" t="s">
        <v>2022</v>
      </c>
    </row>
    <row r="989" spans="1:14" x14ac:dyDescent="0.25">
      <c r="A989" t="s">
        <v>2023</v>
      </c>
      <c r="B989" s="10">
        <v>46146</v>
      </c>
      <c r="C989" t="str">
        <f t="shared" si="16"/>
        <v>May</v>
      </c>
      <c r="D989" t="s">
        <v>58</v>
      </c>
      <c r="E989" t="s">
        <v>59</v>
      </c>
      <c r="F989" t="s">
        <v>28</v>
      </c>
      <c r="G989" t="s">
        <v>65</v>
      </c>
      <c r="H989" t="s">
        <v>66</v>
      </c>
      <c r="I989" s="2">
        <v>3</v>
      </c>
      <c r="J989" s="2">
        <v>5500000</v>
      </c>
      <c r="K989" s="2">
        <v>16500000</v>
      </c>
      <c r="L989" s="3">
        <v>0</v>
      </c>
      <c r="M989" t="s">
        <v>31</v>
      </c>
      <c r="N989" t="s">
        <v>2024</v>
      </c>
    </row>
    <row r="990" spans="1:14" x14ac:dyDescent="0.25">
      <c r="A990" t="s">
        <v>2025</v>
      </c>
      <c r="B990" s="10">
        <v>46056</v>
      </c>
      <c r="C990" t="str">
        <f t="shared" si="16"/>
        <v>February</v>
      </c>
      <c r="D990" t="s">
        <v>26</v>
      </c>
      <c r="E990" t="s">
        <v>27</v>
      </c>
      <c r="F990" t="s">
        <v>28</v>
      </c>
      <c r="G990" t="s">
        <v>17</v>
      </c>
      <c r="H990" t="s">
        <v>18</v>
      </c>
      <c r="I990" s="2">
        <v>8</v>
      </c>
      <c r="J990" s="2">
        <v>2500000</v>
      </c>
      <c r="K990" s="2">
        <v>20000000</v>
      </c>
      <c r="L990" s="3">
        <v>0.15</v>
      </c>
      <c r="M990" t="s">
        <v>51</v>
      </c>
      <c r="N990" t="s">
        <v>2026</v>
      </c>
    </row>
    <row r="991" spans="1:14" x14ac:dyDescent="0.25">
      <c r="A991" t="s">
        <v>2027</v>
      </c>
      <c r="B991" s="10">
        <v>46156</v>
      </c>
      <c r="C991" t="str">
        <f t="shared" si="16"/>
        <v>May</v>
      </c>
      <c r="D991" t="s">
        <v>14</v>
      </c>
      <c r="E991" t="s">
        <v>15</v>
      </c>
      <c r="F991" t="s">
        <v>16</v>
      </c>
      <c r="G991" t="s">
        <v>17</v>
      </c>
      <c r="H991" t="s">
        <v>18</v>
      </c>
      <c r="I991" s="2">
        <v>5</v>
      </c>
      <c r="J991" s="2">
        <v>3500000</v>
      </c>
      <c r="K991" s="2">
        <v>17500000</v>
      </c>
      <c r="L991" s="3">
        <v>0</v>
      </c>
      <c r="M991" t="s">
        <v>51</v>
      </c>
      <c r="N991" t="s">
        <v>2028</v>
      </c>
    </row>
    <row r="992" spans="1:14" x14ac:dyDescent="0.25">
      <c r="A992" t="s">
        <v>2029</v>
      </c>
      <c r="B992" s="10">
        <v>46175</v>
      </c>
      <c r="C992" t="str">
        <f t="shared" si="16"/>
        <v>June</v>
      </c>
      <c r="D992" t="s">
        <v>14</v>
      </c>
      <c r="E992" t="s">
        <v>15</v>
      </c>
      <c r="F992" t="s">
        <v>16</v>
      </c>
      <c r="G992" t="s">
        <v>65</v>
      </c>
      <c r="H992" t="s">
        <v>66</v>
      </c>
      <c r="I992" s="2">
        <v>8</v>
      </c>
      <c r="J992" s="2">
        <v>3500000</v>
      </c>
      <c r="K992" s="2">
        <v>28000000</v>
      </c>
      <c r="L992" s="3">
        <v>0</v>
      </c>
      <c r="M992" t="s">
        <v>19</v>
      </c>
      <c r="N992" t="s">
        <v>2030</v>
      </c>
    </row>
    <row r="993" spans="1:14" x14ac:dyDescent="0.25">
      <c r="A993" t="s">
        <v>2031</v>
      </c>
      <c r="B993" s="10">
        <v>46219</v>
      </c>
      <c r="C993" t="str">
        <f t="shared" si="16"/>
        <v>July</v>
      </c>
      <c r="D993" t="s">
        <v>58</v>
      </c>
      <c r="E993" t="s">
        <v>59</v>
      </c>
      <c r="F993" t="s">
        <v>28</v>
      </c>
      <c r="G993" t="s">
        <v>17</v>
      </c>
      <c r="H993" t="s">
        <v>18</v>
      </c>
      <c r="I993" s="2">
        <v>10</v>
      </c>
      <c r="J993" s="2">
        <v>5500000</v>
      </c>
      <c r="K993" s="2">
        <v>55000000</v>
      </c>
      <c r="L993" s="3">
        <v>0.1</v>
      </c>
      <c r="M993" t="s">
        <v>51</v>
      </c>
      <c r="N993" t="s">
        <v>2032</v>
      </c>
    </row>
    <row r="994" spans="1:14" x14ac:dyDescent="0.25">
      <c r="A994" t="s">
        <v>2033</v>
      </c>
      <c r="B994" s="10">
        <v>46105</v>
      </c>
      <c r="C994" t="str">
        <f t="shared" si="16"/>
        <v>March</v>
      </c>
      <c r="D994" t="s">
        <v>26</v>
      </c>
      <c r="E994" t="s">
        <v>27</v>
      </c>
      <c r="F994" t="s">
        <v>28</v>
      </c>
      <c r="G994" t="s">
        <v>29</v>
      </c>
      <c r="H994" t="s">
        <v>30</v>
      </c>
      <c r="I994" s="2">
        <v>5</v>
      </c>
      <c r="J994" s="2">
        <v>2500000</v>
      </c>
      <c r="K994" s="2">
        <v>12500000</v>
      </c>
      <c r="L994" s="3">
        <v>0.1</v>
      </c>
      <c r="M994" t="s">
        <v>31</v>
      </c>
      <c r="N994" t="s">
        <v>2034</v>
      </c>
    </row>
    <row r="995" spans="1:14" x14ac:dyDescent="0.25">
      <c r="A995" t="s">
        <v>2035</v>
      </c>
      <c r="B995" s="10">
        <v>46220</v>
      </c>
      <c r="C995" t="str">
        <f t="shared" si="16"/>
        <v>July</v>
      </c>
      <c r="D995" t="s">
        <v>62</v>
      </c>
      <c r="E995" t="s">
        <v>63</v>
      </c>
      <c r="F995" t="s">
        <v>64</v>
      </c>
      <c r="G995" t="s">
        <v>17</v>
      </c>
      <c r="H995" t="s">
        <v>18</v>
      </c>
      <c r="I995" s="2">
        <v>5</v>
      </c>
      <c r="J995" s="2">
        <v>4000000</v>
      </c>
      <c r="K995" s="2">
        <v>20000000</v>
      </c>
      <c r="L995" s="3">
        <v>0.05</v>
      </c>
      <c r="M995" t="s">
        <v>19</v>
      </c>
      <c r="N995" t="s">
        <v>2036</v>
      </c>
    </row>
    <row r="996" spans="1:14" x14ac:dyDescent="0.25">
      <c r="A996" t="s">
        <v>2037</v>
      </c>
      <c r="B996" s="10">
        <v>46052</v>
      </c>
      <c r="C996" t="str">
        <f t="shared" si="16"/>
        <v>January</v>
      </c>
      <c r="D996" t="s">
        <v>92</v>
      </c>
      <c r="E996" t="s">
        <v>93</v>
      </c>
      <c r="F996" t="s">
        <v>16</v>
      </c>
      <c r="G996" t="s">
        <v>22</v>
      </c>
      <c r="H996" t="s">
        <v>23</v>
      </c>
      <c r="I996" s="2">
        <v>9</v>
      </c>
      <c r="J996" s="2">
        <v>1500000</v>
      </c>
      <c r="K996" s="2">
        <v>13500000</v>
      </c>
      <c r="L996" s="3">
        <v>0</v>
      </c>
      <c r="M996" t="s">
        <v>19</v>
      </c>
      <c r="N996" t="s">
        <v>2038</v>
      </c>
    </row>
    <row r="997" spans="1:14" x14ac:dyDescent="0.25">
      <c r="A997" t="s">
        <v>2039</v>
      </c>
      <c r="B997" s="10">
        <v>46112</v>
      </c>
      <c r="C997" t="str">
        <f t="shared" si="16"/>
        <v>March</v>
      </c>
      <c r="D997" t="s">
        <v>46</v>
      </c>
      <c r="E997" t="s">
        <v>47</v>
      </c>
      <c r="F997" t="s">
        <v>48</v>
      </c>
      <c r="G997" t="s">
        <v>65</v>
      </c>
      <c r="H997" t="s">
        <v>66</v>
      </c>
      <c r="I997" s="2">
        <v>3</v>
      </c>
      <c r="J997" s="2">
        <v>750000</v>
      </c>
      <c r="K997" s="2">
        <v>2250000</v>
      </c>
      <c r="L997" s="3">
        <v>0.1</v>
      </c>
      <c r="M997" t="s">
        <v>31</v>
      </c>
      <c r="N997" t="s">
        <v>2040</v>
      </c>
    </row>
    <row r="998" spans="1:14" x14ac:dyDescent="0.25">
      <c r="A998" t="s">
        <v>2041</v>
      </c>
      <c r="B998" s="10">
        <v>46066</v>
      </c>
      <c r="C998" t="str">
        <f t="shared" si="16"/>
        <v>February</v>
      </c>
      <c r="D998" t="s">
        <v>14</v>
      </c>
      <c r="E998" t="s">
        <v>15</v>
      </c>
      <c r="F998" t="s">
        <v>16</v>
      </c>
      <c r="G998" t="s">
        <v>65</v>
      </c>
      <c r="H998" t="s">
        <v>66</v>
      </c>
      <c r="I998" s="2">
        <v>10</v>
      </c>
      <c r="J998" s="2">
        <v>3500000</v>
      </c>
      <c r="K998" s="2">
        <v>35000000</v>
      </c>
      <c r="L998" s="3">
        <v>0.1</v>
      </c>
      <c r="M998" t="s">
        <v>31</v>
      </c>
      <c r="N998" t="s">
        <v>2042</v>
      </c>
    </row>
    <row r="999" spans="1:14" x14ac:dyDescent="0.25">
      <c r="A999" t="s">
        <v>2043</v>
      </c>
      <c r="B999" s="10">
        <v>46035</v>
      </c>
      <c r="C999" t="str">
        <f t="shared" si="16"/>
        <v>January</v>
      </c>
      <c r="D999" t="s">
        <v>39</v>
      </c>
      <c r="E999" t="s">
        <v>40</v>
      </c>
      <c r="F999" t="s">
        <v>41</v>
      </c>
      <c r="G999" t="s">
        <v>17</v>
      </c>
      <c r="H999" t="s">
        <v>18</v>
      </c>
      <c r="I999" s="2">
        <v>8</v>
      </c>
      <c r="J999" s="2">
        <v>12000000</v>
      </c>
      <c r="K999" s="2">
        <v>96000000</v>
      </c>
      <c r="L999" s="3">
        <v>0</v>
      </c>
      <c r="M999" t="s">
        <v>19</v>
      </c>
      <c r="N999" t="s">
        <v>2044</v>
      </c>
    </row>
    <row r="1000" spans="1:14" x14ac:dyDescent="0.25">
      <c r="A1000" t="s">
        <v>2045</v>
      </c>
      <c r="B1000" s="10">
        <v>46036</v>
      </c>
      <c r="C1000" t="str">
        <f t="shared" si="16"/>
        <v>January</v>
      </c>
      <c r="D1000" t="s">
        <v>14</v>
      </c>
      <c r="E1000" t="s">
        <v>15</v>
      </c>
      <c r="F1000" t="s">
        <v>16</v>
      </c>
      <c r="G1000" t="s">
        <v>42</v>
      </c>
      <c r="H1000" t="s">
        <v>43</v>
      </c>
      <c r="I1000" s="2">
        <v>7</v>
      </c>
      <c r="J1000" s="2">
        <v>3500000</v>
      </c>
      <c r="K1000" s="2">
        <v>24500000</v>
      </c>
      <c r="L1000" s="3">
        <v>0.05</v>
      </c>
      <c r="M1000" t="s">
        <v>51</v>
      </c>
      <c r="N1000" t="s">
        <v>2046</v>
      </c>
    </row>
    <row r="1001" spans="1:14" x14ac:dyDescent="0.25">
      <c r="A1001" t="s">
        <v>2047</v>
      </c>
      <c r="B1001" s="10">
        <v>46174</v>
      </c>
      <c r="C1001" t="str">
        <f t="shared" si="16"/>
        <v>June</v>
      </c>
      <c r="D1001" t="s">
        <v>62</v>
      </c>
      <c r="E1001" t="s">
        <v>63</v>
      </c>
      <c r="F1001" t="s">
        <v>64</v>
      </c>
      <c r="G1001" t="s">
        <v>22</v>
      </c>
      <c r="H1001" t="s">
        <v>23</v>
      </c>
      <c r="I1001" s="2">
        <v>6</v>
      </c>
      <c r="J1001" s="2">
        <v>4000000</v>
      </c>
      <c r="K1001" s="2">
        <v>24000000</v>
      </c>
      <c r="L1001" s="3">
        <v>0.1</v>
      </c>
      <c r="M1001" t="s">
        <v>19</v>
      </c>
      <c r="N1001" t="s">
        <v>2048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D9"/>
  <sheetViews>
    <sheetView workbookViewId="0">
      <selection activeCell="B8" sqref="B8"/>
    </sheetView>
  </sheetViews>
  <sheetFormatPr defaultRowHeight="15" x14ac:dyDescent="0.25"/>
  <cols>
    <col min="1" max="1" width="12" customWidth="1"/>
    <col min="2" max="2" width="29" customWidth="1"/>
    <col min="3" max="3" width="22" customWidth="1"/>
    <col min="4" max="4" width="15" customWidth="1"/>
  </cols>
  <sheetData>
    <row r="1" spans="1:4" x14ac:dyDescent="0.25">
      <c r="A1" s="1" t="s">
        <v>2</v>
      </c>
      <c r="B1" s="1" t="s">
        <v>3</v>
      </c>
      <c r="C1" s="1" t="s">
        <v>4</v>
      </c>
      <c r="D1" s="1" t="s">
        <v>8</v>
      </c>
    </row>
    <row r="2" spans="1:4" x14ac:dyDescent="0.25">
      <c r="A2" t="s">
        <v>92</v>
      </c>
      <c r="B2" t="s">
        <v>93</v>
      </c>
      <c r="C2" t="s">
        <v>16</v>
      </c>
      <c r="D2">
        <v>1500000</v>
      </c>
    </row>
    <row r="3" spans="1:4" x14ac:dyDescent="0.25">
      <c r="A3" t="s">
        <v>14</v>
      </c>
      <c r="B3" t="s">
        <v>15</v>
      </c>
      <c r="C3" t="s">
        <v>16</v>
      </c>
      <c r="D3">
        <v>3500000</v>
      </c>
    </row>
    <row r="4" spans="1:4" x14ac:dyDescent="0.25">
      <c r="A4" t="s">
        <v>39</v>
      </c>
      <c r="B4" t="s">
        <v>40</v>
      </c>
      <c r="C4" t="s">
        <v>41</v>
      </c>
      <c r="D4">
        <v>12000000</v>
      </c>
    </row>
    <row r="5" spans="1:4" x14ac:dyDescent="0.25">
      <c r="A5" t="s">
        <v>26</v>
      </c>
      <c r="B5" t="s">
        <v>27</v>
      </c>
      <c r="C5" t="s">
        <v>28</v>
      </c>
      <c r="D5">
        <v>2500000</v>
      </c>
    </row>
    <row r="6" spans="1:4" x14ac:dyDescent="0.25">
      <c r="A6" t="s">
        <v>58</v>
      </c>
      <c r="B6" t="s">
        <v>59</v>
      </c>
      <c r="C6" t="s">
        <v>28</v>
      </c>
      <c r="D6">
        <v>5500000</v>
      </c>
    </row>
    <row r="7" spans="1:4" x14ac:dyDescent="0.25">
      <c r="A7" t="s">
        <v>46</v>
      </c>
      <c r="B7" t="s">
        <v>47</v>
      </c>
      <c r="C7" t="s">
        <v>48</v>
      </c>
      <c r="D7">
        <v>750000</v>
      </c>
    </row>
    <row r="8" spans="1:4" x14ac:dyDescent="0.25">
      <c r="A8" t="s">
        <v>34</v>
      </c>
      <c r="B8" t="s">
        <v>35</v>
      </c>
      <c r="C8" t="s">
        <v>36</v>
      </c>
      <c r="D8">
        <v>2000000</v>
      </c>
    </row>
    <row r="9" spans="1:4" x14ac:dyDescent="0.25">
      <c r="A9" t="s">
        <v>62</v>
      </c>
      <c r="B9" t="s">
        <v>63</v>
      </c>
      <c r="C9" t="s">
        <v>64</v>
      </c>
      <c r="D9">
        <v>4000000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F2"/>
  <sheetViews>
    <sheetView workbookViewId="0">
      <selection activeCell="F7" sqref="F7"/>
    </sheetView>
  </sheetViews>
  <sheetFormatPr defaultRowHeight="15" x14ac:dyDescent="0.25"/>
  <cols>
    <col min="1" max="1" width="13" customWidth="1"/>
    <col min="2" max="5" width="12" customWidth="1"/>
    <col min="6" max="6" width="14" customWidth="1"/>
  </cols>
  <sheetData>
    <row r="1" spans="1:6" x14ac:dyDescent="0.25">
      <c r="A1" s="1" t="s">
        <v>5</v>
      </c>
      <c r="B1" s="1" t="s">
        <v>17</v>
      </c>
      <c r="C1" s="1" t="s">
        <v>29</v>
      </c>
      <c r="D1" s="1" t="s">
        <v>65</v>
      </c>
      <c r="E1" s="1" t="s">
        <v>42</v>
      </c>
      <c r="F1" s="1" t="s">
        <v>22</v>
      </c>
    </row>
    <row r="2" spans="1:6" x14ac:dyDescent="0.25">
      <c r="A2" t="s">
        <v>6</v>
      </c>
      <c r="B2" t="s">
        <v>18</v>
      </c>
      <c r="C2" t="s">
        <v>30</v>
      </c>
      <c r="D2" t="s">
        <v>66</v>
      </c>
      <c r="E2" t="s">
        <v>43</v>
      </c>
      <c r="F2"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vt:lpstr>
      <vt:lpstr>Sales_Data</vt:lpstr>
      <vt:lpstr>Master_Produk</vt:lpstr>
      <vt:lpstr>Master_Kanal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Reina Ahlaq Karim Narsa Sari</cp:lastModifiedBy>
  <dcterms:created xsi:type="dcterms:W3CDTF">2026-08-20T02:46:03Z</dcterms:created>
  <dcterms:modified xsi:type="dcterms:W3CDTF">2026-09-17T02:38:30Z</dcterms:modified>
</cp:coreProperties>
</file>